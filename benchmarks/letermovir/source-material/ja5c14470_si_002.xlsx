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thz.ch\groups\chab\icb\GGG\users\mhoepfne\Documents\02 Project - LCA Routes Evaluation (Carreira Group)\SI\SI 20082025\"/>
    </mc:Choice>
  </mc:AlternateContent>
  <xr:revisionPtr revIDLastSave="0" documentId="13_ncr:1_{4849368C-A615-475E-AED8-74189EA74CA2}" xr6:coauthVersionLast="47" xr6:coauthVersionMax="47" xr10:uidLastSave="{00000000-0000-0000-0000-000000000000}"/>
  <bookViews>
    <workbookView xWindow="-38510" yWindow="-13340" windowWidth="38620" windowHeight="21100" tabRatio="500" xr2:uid="{00000000-000D-0000-FFFF-FFFF00000000}"/>
  </bookViews>
  <sheets>
    <sheet name="Macro" sheetId="1" r:id="rId1"/>
    <sheet name="A. Databases" sheetId="2" r:id="rId2"/>
    <sheet name="1.1 LCA This Work FU" sheetId="3" r:id="rId3"/>
    <sheet name="2.1. Merck LCA FU" sheetId="4" r:id="rId4"/>
    <sheet name="B.1. Chiral Cat This Work" sheetId="5" r:id="rId5"/>
    <sheet name="B.2. Chiral Cat Merck" sheetId="6" r:id="rId6"/>
    <sheet name="B.3. Pd Catalyst" sheetId="7" r:id="rId7"/>
    <sheet name="B.4. Precursor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94" i="2" l="1"/>
  <c r="Q126" i="8"/>
  <c r="D121" i="8"/>
  <c r="D119" i="8"/>
  <c r="D97" i="8"/>
  <c r="D96" i="8"/>
  <c r="D54" i="7"/>
  <c r="B54" i="7"/>
  <c r="B56" i="7" s="1"/>
  <c r="D44" i="7" s="1"/>
  <c r="C39" i="7"/>
  <c r="D13" i="7"/>
  <c r="C41" i="7" s="1"/>
  <c r="D12" i="7"/>
  <c r="C40" i="7" s="1"/>
  <c r="B3" i="7"/>
  <c r="P95" i="6"/>
  <c r="F95" i="6"/>
  <c r="P89" i="6"/>
  <c r="F89" i="6"/>
  <c r="P88" i="6"/>
  <c r="F88" i="6"/>
  <c r="P82" i="6"/>
  <c r="F82" i="6"/>
  <c r="P78" i="6"/>
  <c r="F78" i="6"/>
  <c r="P75" i="6"/>
  <c r="F75" i="6"/>
  <c r="P74" i="6"/>
  <c r="F74" i="6"/>
  <c r="P69" i="6"/>
  <c r="F69" i="6"/>
  <c r="S63" i="6"/>
  <c r="P63" i="6"/>
  <c r="I63" i="6"/>
  <c r="F63" i="6"/>
  <c r="P62" i="6"/>
  <c r="F62" i="6"/>
  <c r="P56" i="6"/>
  <c r="F56" i="6"/>
  <c r="P52" i="6"/>
  <c r="F52" i="6"/>
  <c r="P49" i="6"/>
  <c r="F49" i="6"/>
  <c r="P43" i="6"/>
  <c r="F43" i="6"/>
  <c r="P36" i="6"/>
  <c r="F36" i="6"/>
  <c r="P30" i="6"/>
  <c r="F30" i="6"/>
  <c r="P23" i="6"/>
  <c r="F23" i="6"/>
  <c r="P22" i="6"/>
  <c r="F22" i="6"/>
  <c r="F13" i="6"/>
  <c r="B10" i="6"/>
  <c r="F10" i="6" s="1"/>
  <c r="F9" i="6"/>
  <c r="F8" i="6"/>
  <c r="B8" i="6"/>
  <c r="F6" i="6"/>
  <c r="D6" i="6"/>
  <c r="F5" i="6"/>
  <c r="F4" i="6"/>
  <c r="Z132" i="5"/>
  <c r="S131" i="5"/>
  <c r="AA129" i="5"/>
  <c r="V124" i="5"/>
  <c r="S102" i="5"/>
  <c r="S101" i="5"/>
  <c r="V78" i="5"/>
  <c r="S77" i="5"/>
  <c r="S47" i="5"/>
  <c r="D106" i="4"/>
  <c r="D105" i="4"/>
  <c r="D104" i="4"/>
  <c r="D101" i="4"/>
  <c r="D100" i="4"/>
  <c r="D99" i="4"/>
  <c r="J96" i="4" s="1"/>
  <c r="D98" i="4"/>
  <c r="D92" i="4"/>
  <c r="D88" i="4" s="1"/>
  <c r="D107" i="3"/>
  <c r="D97" i="3" s="1"/>
  <c r="F97" i="3" s="1"/>
  <c r="F105" i="3"/>
  <c r="D105" i="3"/>
  <c r="F104" i="3"/>
  <c r="D104" i="3" s="1"/>
  <c r="F103" i="3"/>
  <c r="D103" i="3"/>
  <c r="F100" i="3"/>
  <c r="D100" i="3"/>
  <c r="F99" i="3"/>
  <c r="D99" i="3"/>
  <c r="F98" i="3"/>
  <c r="D98" i="3"/>
  <c r="F91" i="3"/>
  <c r="D91" i="3" s="1"/>
  <c r="D80" i="3" s="1"/>
  <c r="B89" i="3"/>
  <c r="F51" i="3"/>
  <c r="B11" i="3"/>
  <c r="B10" i="3"/>
  <c r="B8" i="3"/>
  <c r="A68" i="2"/>
  <c r="A67" i="2"/>
  <c r="A46" i="2"/>
  <c r="A45" i="2"/>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C8" i="1"/>
  <c r="H3" i="2" s="1"/>
  <c r="D83" i="3" l="1"/>
  <c r="F83" i="3" s="1"/>
  <c r="D81" i="3"/>
  <c r="F81" i="3" s="1"/>
  <c r="F80" i="3"/>
  <c r="H122" i="2"/>
  <c r="D30" i="7" s="1"/>
  <c r="H106" i="2"/>
  <c r="D72" i="8" s="1"/>
  <c r="H90" i="2"/>
  <c r="U123" i="5" s="1"/>
  <c r="V123" i="5" s="1"/>
  <c r="H74" i="2"/>
  <c r="U5" i="5" s="1"/>
  <c r="V5" i="5" s="1"/>
  <c r="H60" i="2"/>
  <c r="H45" i="2"/>
  <c r="H30" i="2"/>
  <c r="H14" i="2"/>
  <c r="H29" i="2"/>
  <c r="H13" i="2"/>
  <c r="H86" i="2"/>
  <c r="U75" i="5" s="1"/>
  <c r="V75" i="5" s="1"/>
  <c r="H56" i="2"/>
  <c r="F53" i="4" s="1"/>
  <c r="H26" i="2"/>
  <c r="H121" i="2"/>
  <c r="D22" i="7" s="1"/>
  <c r="H105" i="2"/>
  <c r="D71" i="8" s="1"/>
  <c r="H89" i="2"/>
  <c r="H73" i="2"/>
  <c r="U4" i="5" s="1"/>
  <c r="V4" i="5" s="1"/>
  <c r="H59" i="2"/>
  <c r="H120" i="2"/>
  <c r="D19" i="7" s="1"/>
  <c r="H104" i="2"/>
  <c r="D66" i="8" s="1"/>
  <c r="H88" i="2"/>
  <c r="U99" i="5" s="1"/>
  <c r="V99" i="5" s="1"/>
  <c r="H72" i="2"/>
  <c r="J35" i="8" s="1"/>
  <c r="H58" i="2"/>
  <c r="H44" i="2"/>
  <c r="H28" i="2"/>
  <c r="L5" i="8" s="1"/>
  <c r="H12" i="2"/>
  <c r="H119" i="2"/>
  <c r="D24" i="7" s="1"/>
  <c r="H103" i="2"/>
  <c r="D65" i="8" s="1"/>
  <c r="H87" i="2"/>
  <c r="U98" i="5" s="1"/>
  <c r="V98" i="5" s="1"/>
  <c r="H71" i="2"/>
  <c r="D33" i="8" s="1"/>
  <c r="H57" i="2"/>
  <c r="F54" i="4" s="1"/>
  <c r="H43" i="2"/>
  <c r="H27" i="2"/>
  <c r="H11" i="2"/>
  <c r="H118" i="2"/>
  <c r="E119" i="8" s="1"/>
  <c r="H102" i="2"/>
  <c r="H70" i="2"/>
  <c r="H42" i="2"/>
  <c r="H10" i="2"/>
  <c r="H6" i="2"/>
  <c r="H8" i="6" s="1"/>
  <c r="I8" i="6" s="1"/>
  <c r="H32" i="2"/>
  <c r="E96" i="8" s="1"/>
  <c r="H50" i="2"/>
  <c r="H69" i="2"/>
  <c r="H35" i="3" s="1"/>
  <c r="H95" i="2"/>
  <c r="H116" i="2"/>
  <c r="E106" i="8" s="1"/>
  <c r="D82" i="4"/>
  <c r="H68" i="2"/>
  <c r="E109" i="8" s="1"/>
  <c r="H92" i="2"/>
  <c r="H83" i="3" s="1"/>
  <c r="I83" i="3" s="1"/>
  <c r="H48" i="2"/>
  <c r="J43" i="8" s="1"/>
  <c r="H97" i="2"/>
  <c r="H9" i="2"/>
  <c r="H35" i="2"/>
  <c r="H53" i="2"/>
  <c r="H77" i="2"/>
  <c r="H98" i="2"/>
  <c r="H124" i="2"/>
  <c r="D29" i="7" s="1"/>
  <c r="H47" i="2"/>
  <c r="H93" i="2"/>
  <c r="D48" i="8" s="1"/>
  <c r="H33" i="2"/>
  <c r="H52" i="2"/>
  <c r="H15" i="2"/>
  <c r="H36" i="2"/>
  <c r="L48" i="8" s="1"/>
  <c r="H54" i="2"/>
  <c r="H78" i="2"/>
  <c r="H99" i="2"/>
  <c r="H125" i="2"/>
  <c r="J6" i="8" s="1"/>
  <c r="D83" i="4"/>
  <c r="H5" i="2"/>
  <c r="H7" i="2"/>
  <c r="H8" i="2"/>
  <c r="H34" i="2"/>
  <c r="H76" i="2"/>
  <c r="U9" i="5" s="1"/>
  <c r="V9" i="5" s="1"/>
  <c r="H123" i="2"/>
  <c r="D28" i="7" s="1"/>
  <c r="H16" i="2"/>
  <c r="H37" i="2"/>
  <c r="H55" i="2"/>
  <c r="H79" i="2"/>
  <c r="H100" i="2"/>
  <c r="H126" i="2"/>
  <c r="J8" i="8" s="1"/>
  <c r="H113" i="2"/>
  <c r="E93" i="8" s="1"/>
  <c r="H115" i="2"/>
  <c r="H107" i="2"/>
  <c r="H50" i="3" s="1"/>
  <c r="H20" i="2"/>
  <c r="H41" i="2"/>
  <c r="H86" i="3" s="1"/>
  <c r="H64" i="2"/>
  <c r="H83" i="2"/>
  <c r="H109" i="2"/>
  <c r="H24" i="2"/>
  <c r="L60" i="8" s="1"/>
  <c r="H31" i="2"/>
  <c r="H51" i="2"/>
  <c r="H38" i="2"/>
  <c r="H127" i="2"/>
  <c r="E130" i="8" s="1"/>
  <c r="H39" i="2"/>
  <c r="H62" i="2"/>
  <c r="F52" i="4" s="1"/>
  <c r="H128" i="2"/>
  <c r="E132" i="8" s="1"/>
  <c r="H19" i="2"/>
  <c r="H9" i="6" s="1"/>
  <c r="I9" i="6" s="1"/>
  <c r="H21" i="2"/>
  <c r="F7" i="4" s="1"/>
  <c r="H65" i="2"/>
  <c r="H84" i="2"/>
  <c r="U53" i="5" s="1"/>
  <c r="V53" i="5" s="1"/>
  <c r="H110" i="2"/>
  <c r="D89" i="4"/>
  <c r="H67" i="2"/>
  <c r="J27" i="8" s="1"/>
  <c r="H25" i="2"/>
  <c r="F51" i="4" s="1"/>
  <c r="H4" i="6"/>
  <c r="I4" i="6" s="1"/>
  <c r="H96" i="2"/>
  <c r="H80" i="2"/>
  <c r="U32" i="5" s="1"/>
  <c r="V32" i="5" s="1"/>
  <c r="H18" i="2"/>
  <c r="H10" i="6" s="1"/>
  <c r="I10" i="6" s="1"/>
  <c r="H63" i="2"/>
  <c r="E127" i="8" s="1"/>
  <c r="H108" i="2"/>
  <c r="H22" i="2"/>
  <c r="H66" i="2"/>
  <c r="H85" i="2"/>
  <c r="U54" i="5" s="1"/>
  <c r="V54" i="5" s="1"/>
  <c r="H111" i="2"/>
  <c r="H4" i="2"/>
  <c r="H114" i="2"/>
  <c r="H49" i="2"/>
  <c r="H75" i="2"/>
  <c r="U8" i="5" s="1"/>
  <c r="V8" i="5" s="1"/>
  <c r="H117" i="2"/>
  <c r="E120" i="8" s="1"/>
  <c r="H17" i="2"/>
  <c r="D42" i="8" s="1"/>
  <c r="H61" i="2"/>
  <c r="H101" i="2"/>
  <c r="J56" i="8" s="1"/>
  <c r="H81" i="2"/>
  <c r="H40" i="2"/>
  <c r="H82" i="2"/>
  <c r="U47" i="5" s="1"/>
  <c r="V47" i="5" s="1"/>
  <c r="H23" i="2"/>
  <c r="H46" i="2"/>
  <c r="H91" i="2"/>
  <c r="D24" i="8" s="1"/>
  <c r="H112" i="2"/>
  <c r="D82" i="8" s="1"/>
  <c r="G28" i="7" l="1"/>
  <c r="D31" i="7" s="1"/>
  <c r="F68" i="4"/>
  <c r="R22" i="6"/>
  <c r="S22" i="6" s="1"/>
  <c r="E97" i="8"/>
  <c r="U117" i="5"/>
  <c r="V117" i="5" s="1"/>
  <c r="F26" i="4"/>
  <c r="F72" i="4"/>
  <c r="J26" i="8"/>
  <c r="L19" i="8"/>
  <c r="F57" i="4"/>
  <c r="F106" i="4"/>
  <c r="G106" i="4" s="1"/>
  <c r="H105" i="3"/>
  <c r="I105" i="3" s="1"/>
  <c r="H22" i="6"/>
  <c r="I22" i="6" s="1"/>
  <c r="I30" i="6" s="1"/>
  <c r="H30" i="6" s="1"/>
  <c r="H35" i="6" s="1"/>
  <c r="I35" i="6" s="1"/>
  <c r="D54" i="8"/>
  <c r="H98" i="3"/>
  <c r="I98" i="3" s="1"/>
  <c r="F23" i="4"/>
  <c r="F83" i="4"/>
  <c r="G83" i="4" s="1"/>
  <c r="I82" i="4" s="1"/>
  <c r="F69" i="4"/>
  <c r="F99" i="4"/>
  <c r="G99" i="4" s="1"/>
  <c r="U55" i="5"/>
  <c r="V55" i="5" s="1"/>
  <c r="U30" i="5"/>
  <c r="V30" i="5" s="1"/>
  <c r="L58" i="8"/>
  <c r="H55" i="3"/>
  <c r="L17" i="8"/>
  <c r="H38" i="3"/>
  <c r="H24" i="3"/>
  <c r="H54" i="3"/>
  <c r="H10" i="3"/>
  <c r="H70" i="3"/>
  <c r="J57" i="8"/>
  <c r="H36" i="6"/>
  <c r="I36" i="6" s="1"/>
  <c r="R36" i="6"/>
  <c r="S36" i="6" s="1"/>
  <c r="J42" i="8"/>
  <c r="G42" i="8" s="1"/>
  <c r="H51" i="3" s="1"/>
  <c r="I51" i="3" s="1"/>
  <c r="R88" i="6"/>
  <c r="S88" i="6" s="1"/>
  <c r="H88" i="6"/>
  <c r="I88" i="6" s="1"/>
  <c r="R49" i="6"/>
  <c r="S49" i="6" s="1"/>
  <c r="H49" i="6"/>
  <c r="I49" i="6" s="1"/>
  <c r="J10" i="8"/>
  <c r="G48" i="8"/>
  <c r="H81" i="3" s="1"/>
  <c r="I81" i="3" s="1"/>
  <c r="E131" i="8"/>
  <c r="H23" i="6"/>
  <c r="I23" i="6" s="1"/>
  <c r="J22" i="8"/>
  <c r="J33" i="8"/>
  <c r="G34" i="8" s="1"/>
  <c r="D36" i="8" s="1"/>
  <c r="J55" i="8"/>
  <c r="J25" i="8"/>
  <c r="R23" i="6"/>
  <c r="S23" i="6" s="1"/>
  <c r="J54" i="8"/>
  <c r="J7" i="8"/>
  <c r="J23" i="8"/>
  <c r="J19" i="8"/>
  <c r="D73" i="8"/>
  <c r="J28" i="8"/>
  <c r="J24" i="8"/>
  <c r="G24" i="8" s="1"/>
  <c r="D25" i="8" s="1"/>
  <c r="E92" i="8"/>
  <c r="I92" i="8" s="1"/>
  <c r="E94" i="8" s="1"/>
  <c r="D81" i="8"/>
  <c r="G81" i="8" s="1"/>
  <c r="D84" i="8" s="1"/>
  <c r="F89" i="4"/>
  <c r="G89" i="4" s="1"/>
  <c r="H88" i="3"/>
  <c r="I88" i="3" s="1"/>
  <c r="H75" i="6"/>
  <c r="I75" i="6" s="1"/>
  <c r="R75" i="6"/>
  <c r="S75" i="6" s="1"/>
  <c r="U94" i="5"/>
  <c r="V94" i="5" s="1"/>
  <c r="D39" i="7"/>
  <c r="E39" i="7" s="1"/>
  <c r="U100" i="5"/>
  <c r="V100" i="5" s="1"/>
  <c r="U52" i="5"/>
  <c r="V52" i="5" s="1"/>
  <c r="N126" i="8"/>
  <c r="H11" i="3"/>
  <c r="R78" i="6"/>
  <c r="S78" i="6" s="1"/>
  <c r="H78" i="6"/>
  <c r="I78" i="6" s="1"/>
  <c r="U27" i="5"/>
  <c r="V27" i="5" s="1"/>
  <c r="U31" i="5"/>
  <c r="V31" i="5" s="1"/>
  <c r="F11" i="4"/>
  <c r="F27" i="4"/>
  <c r="F10" i="4"/>
  <c r="F40" i="4"/>
  <c r="E114" i="8"/>
  <c r="J59" i="8"/>
  <c r="D32" i="7"/>
  <c r="G31" i="7" s="1"/>
  <c r="D41" i="7" s="1"/>
  <c r="E41" i="7" s="1"/>
  <c r="G65" i="8"/>
  <c r="H7" i="3" s="1"/>
  <c r="D80" i="8"/>
  <c r="E91" i="8"/>
  <c r="H52" i="3"/>
  <c r="H66" i="3"/>
  <c r="U122" i="5"/>
  <c r="V122" i="5" s="1"/>
  <c r="L16" i="8"/>
  <c r="L4" i="8"/>
  <c r="E128" i="8"/>
  <c r="J5" i="8"/>
  <c r="H99" i="3"/>
  <c r="I99" i="3" s="1"/>
  <c r="F100" i="4"/>
  <c r="G100" i="4" s="1"/>
  <c r="H8" i="3"/>
  <c r="J17" i="8"/>
  <c r="K67" i="4"/>
  <c r="H65" i="3"/>
  <c r="D79" i="8"/>
  <c r="E90" i="8"/>
  <c r="E107" i="8"/>
  <c r="I106" i="8" s="1"/>
  <c r="E108" i="8" s="1"/>
  <c r="I108" i="8" s="1"/>
  <c r="U76" i="5" s="1"/>
  <c r="V76" i="5" s="1"/>
  <c r="R62" i="6"/>
  <c r="S62" i="6" s="1"/>
  <c r="H62" i="6"/>
  <c r="I62" i="6" s="1"/>
  <c r="E121" i="8"/>
  <c r="I119" i="8" s="1"/>
  <c r="F24" i="4" s="1"/>
  <c r="D4" i="8"/>
  <c r="E126" i="8"/>
  <c r="D16" i="8"/>
  <c r="H52" i="6"/>
  <c r="I52" i="6" s="1"/>
  <c r="F101" i="4"/>
  <c r="G101" i="4" s="1"/>
  <c r="H100" i="3"/>
  <c r="I100" i="3" s="1"/>
  <c r="R52" i="6"/>
  <c r="S52" i="6" s="1"/>
  <c r="E95" i="8"/>
  <c r="E113" i="8"/>
  <c r="U77" i="5"/>
  <c r="V77" i="5" s="1"/>
  <c r="R89" i="6"/>
  <c r="S89" i="6" s="1"/>
  <c r="H89" i="6"/>
  <c r="I89" i="6" s="1"/>
  <c r="J9" i="8"/>
  <c r="V12" i="5"/>
  <c r="U12" i="5" s="1"/>
  <c r="U21" i="5" s="1"/>
  <c r="V21" i="5" s="1"/>
  <c r="U33" i="5"/>
  <c r="V33" i="5" s="1"/>
  <c r="U28" i="5"/>
  <c r="V28" i="5" s="1"/>
  <c r="G71" i="8"/>
  <c r="H49" i="3" s="1"/>
  <c r="F86" i="3"/>
  <c r="I86" i="3" s="1"/>
  <c r="F74" i="3"/>
  <c r="D74" i="3" s="1"/>
  <c r="D64" i="3" s="1"/>
  <c r="F87" i="3"/>
  <c r="F82" i="3"/>
  <c r="F88" i="3"/>
  <c r="U93" i="5"/>
  <c r="V93" i="5" s="1"/>
  <c r="F70" i="4"/>
  <c r="D78" i="8"/>
  <c r="E89" i="8"/>
  <c r="F73" i="4"/>
  <c r="F56" i="4"/>
  <c r="F88" i="4"/>
  <c r="G88" i="4" s="1"/>
  <c r="H87" i="3"/>
  <c r="I87" i="3" s="1"/>
  <c r="D84" i="4"/>
  <c r="D76" i="4"/>
  <c r="J80" i="4"/>
  <c r="F105" i="4"/>
  <c r="G105" i="4" s="1"/>
  <c r="H103" i="3"/>
  <c r="I103" i="3" s="1"/>
  <c r="F104" i="4"/>
  <c r="G104" i="4" s="1"/>
  <c r="H104" i="3"/>
  <c r="I104" i="3" s="1"/>
  <c r="U34" i="5"/>
  <c r="V34" i="5" s="1"/>
  <c r="U101" i="5"/>
  <c r="V101" i="5" s="1"/>
  <c r="E129" i="8"/>
  <c r="D20" i="7"/>
  <c r="G19" i="7" s="1"/>
  <c r="D21" i="7" s="1"/>
  <c r="G21" i="7" s="1"/>
  <c r="D23" i="7" s="1"/>
  <c r="G23" i="7" s="1"/>
  <c r="D40" i="7" s="1"/>
  <c r="E40" i="7" s="1"/>
  <c r="U102" i="5"/>
  <c r="V102" i="5" s="1"/>
  <c r="U29" i="5"/>
  <c r="V29" i="5" s="1"/>
  <c r="G16" i="8" l="1"/>
  <c r="D17" i="8" s="1"/>
  <c r="G17" i="8" s="1"/>
  <c r="D18" i="8" s="1"/>
  <c r="G18" i="8" s="1"/>
  <c r="D19" i="8" s="1"/>
  <c r="G19" i="8" s="1"/>
  <c r="H6" i="3" s="1"/>
  <c r="G4" i="8"/>
  <c r="D5" i="8" s="1"/>
  <c r="G5" i="8" s="1"/>
  <c r="D6" i="8" s="1"/>
  <c r="G6" i="8" s="1"/>
  <c r="F6" i="4" s="1"/>
  <c r="I89" i="8"/>
  <c r="E99" i="8" s="1"/>
  <c r="G78" i="8"/>
  <c r="D83" i="8" s="1"/>
  <c r="G83" i="8" s="1"/>
  <c r="I94" i="8"/>
  <c r="E98" i="8" s="1"/>
  <c r="G33" i="8"/>
  <c r="D35" i="8" s="1"/>
  <c r="I126" i="8"/>
  <c r="F67" i="4" s="1"/>
  <c r="I84" i="4"/>
  <c r="G73" i="4"/>
  <c r="D65" i="3"/>
  <c r="F65" i="3" s="1"/>
  <c r="I65" i="3" s="1"/>
  <c r="D67" i="3"/>
  <c r="F67" i="3" s="1"/>
  <c r="D66" i="3"/>
  <c r="F66" i="3" s="1"/>
  <c r="F64" i="3"/>
  <c r="G36" i="8"/>
  <c r="G35" i="8"/>
  <c r="F38" i="4" s="1"/>
  <c r="G54" i="8"/>
  <c r="D55" i="8" s="1"/>
  <c r="G55" i="8" s="1"/>
  <c r="D56" i="8" s="1"/>
  <c r="G56" i="8" s="1"/>
  <c r="D58" i="8" s="1"/>
  <c r="G58" i="8" s="1"/>
  <c r="D59" i="8" s="1"/>
  <c r="G59" i="8" s="1"/>
  <c r="D60" i="8" s="1"/>
  <c r="G25" i="8"/>
  <c r="D26" i="8" s="1"/>
  <c r="G26" i="8" s="1"/>
  <c r="D27" i="8" s="1"/>
  <c r="G27" i="8" s="1"/>
  <c r="D28" i="8" s="1"/>
  <c r="G28" i="8" s="1"/>
  <c r="E44" i="7"/>
  <c r="F44" i="7" s="1"/>
  <c r="F8" i="4" s="1"/>
  <c r="V39" i="5"/>
  <c r="U39" i="5" s="1"/>
  <c r="U46" i="5" s="1"/>
  <c r="V46" i="5" s="1"/>
  <c r="G72" i="4"/>
  <c r="I43" i="6"/>
  <c r="H43" i="6" s="1"/>
  <c r="H48" i="6" s="1"/>
  <c r="I48" i="6" s="1"/>
  <c r="I56" i="6" s="1"/>
  <c r="H56" i="6" s="1"/>
  <c r="H61" i="6" s="1"/>
  <c r="I61" i="6" s="1"/>
  <c r="I69" i="6" s="1"/>
  <c r="H69" i="6" s="1"/>
  <c r="H74" i="6" s="1"/>
  <c r="I74" i="6" s="1"/>
  <c r="I82" i="6" s="1"/>
  <c r="H82" i="6" s="1"/>
  <c r="H87" i="6" s="1"/>
  <c r="I87" i="6" s="1"/>
  <c r="I95" i="6" s="1"/>
  <c r="H95" i="6" s="1"/>
  <c r="H5" i="6" s="1"/>
  <c r="I5" i="6" s="1"/>
  <c r="I100" i="4"/>
  <c r="D73" i="4"/>
  <c r="D67" i="4"/>
  <c r="D70" i="4"/>
  <c r="G70" i="4" s="1"/>
  <c r="D72" i="4"/>
  <c r="D66" i="4"/>
  <c r="D69" i="4"/>
  <c r="G69" i="4" s="1"/>
  <c r="D68" i="4"/>
  <c r="G68" i="4" s="1"/>
  <c r="I66" i="3"/>
  <c r="I113" i="8"/>
  <c r="U48" i="5" s="1"/>
  <c r="V48" i="5" s="1"/>
  <c r="I98" i="4"/>
  <c r="S30" i="6"/>
  <c r="R30" i="6" s="1"/>
  <c r="R35" i="6" s="1"/>
  <c r="S35" i="6" s="1"/>
  <c r="S43" i="6" s="1"/>
  <c r="R43" i="6" s="1"/>
  <c r="R48" i="6" s="1"/>
  <c r="S48" i="6" s="1"/>
  <c r="S56" i="6" s="1"/>
  <c r="R56" i="6" s="1"/>
  <c r="R61" i="6" s="1"/>
  <c r="S61" i="6" s="1"/>
  <c r="S69" i="6" s="1"/>
  <c r="R69" i="6" s="1"/>
  <c r="R74" i="6" s="1"/>
  <c r="S74" i="6" s="1"/>
  <c r="S82" i="6" s="1"/>
  <c r="R82" i="6" s="1"/>
  <c r="R87" i="6" s="1"/>
  <c r="S87" i="6" s="1"/>
  <c r="S95" i="6" s="1"/>
  <c r="R95" i="6" s="1"/>
  <c r="H6" i="6" s="1"/>
  <c r="I6" i="6" s="1"/>
  <c r="I98" i="8" l="1"/>
  <c r="H67" i="3" s="1"/>
  <c r="I67" i="3" s="1"/>
  <c r="G67" i="4"/>
  <c r="I66" i="4" s="1"/>
  <c r="I68" i="4"/>
  <c r="F58" i="3"/>
  <c r="D58" i="3" s="1"/>
  <c r="D48" i="3" s="1"/>
  <c r="F70" i="3"/>
  <c r="I70" i="3" s="1"/>
  <c r="I13" i="6"/>
  <c r="H13" i="6" s="1"/>
  <c r="F84" i="4" s="1"/>
  <c r="G84" i="4" s="1"/>
  <c r="I83" i="4" s="1"/>
  <c r="V61" i="5"/>
  <c r="U61" i="5" s="1"/>
  <c r="U69" i="5" s="1"/>
  <c r="V69" i="5" s="1"/>
  <c r="V84" i="5" s="1"/>
  <c r="U84" i="5" s="1"/>
  <c r="U92" i="5" s="1"/>
  <c r="V92" i="5" s="1"/>
  <c r="V107" i="5" s="1"/>
  <c r="U107" i="5" s="1"/>
  <c r="U116" i="5" s="1"/>
  <c r="V116" i="5" s="1"/>
  <c r="V131" i="5" s="1"/>
  <c r="U131" i="5" s="1"/>
  <c r="H82" i="3" s="1"/>
  <c r="I82" i="3" s="1"/>
  <c r="D60" i="4"/>
  <c r="J64" i="4"/>
  <c r="F37" i="4"/>
  <c r="G60" i="8"/>
  <c r="H21" i="3" s="1"/>
  <c r="D56" i="4" l="1"/>
  <c r="G56" i="4" s="1"/>
  <c r="D50" i="4"/>
  <c r="D51" i="4"/>
  <c r="G51" i="4" s="1"/>
  <c r="D57" i="4"/>
  <c r="G57" i="4" s="1"/>
  <c r="D54" i="4"/>
  <c r="G54" i="4" s="1"/>
  <c r="D53" i="4"/>
  <c r="G53" i="4" s="1"/>
  <c r="D52" i="4"/>
  <c r="G52" i="4" s="1"/>
  <c r="F48" i="3"/>
  <c r="D52" i="3"/>
  <c r="F52" i="3" s="1"/>
  <c r="I52" i="3" s="1"/>
  <c r="D49" i="3"/>
  <c r="F49" i="3" s="1"/>
  <c r="I49" i="3" s="1"/>
  <c r="F54" i="3" l="1"/>
  <c r="I54" i="3" s="1"/>
  <c r="F55" i="3"/>
  <c r="I55" i="3" s="1"/>
  <c r="F42" i="3"/>
  <c r="D42" i="3" s="1"/>
  <c r="F50" i="3"/>
  <c r="I50" i="3" s="1"/>
  <c r="I50" i="4"/>
  <c r="D44" i="4"/>
  <c r="J48" i="4"/>
  <c r="I52" i="4"/>
  <c r="D37" i="4" l="1"/>
  <c r="G37" i="4" s="1"/>
  <c r="D38" i="4"/>
  <c r="G38" i="4" s="1"/>
  <c r="D36" i="4"/>
  <c r="D40" i="4"/>
  <c r="G40" i="4" s="1"/>
  <c r="I38" i="4" s="1"/>
  <c r="F34" i="3"/>
  <c r="F35" i="3"/>
  <c r="D35" i="3" l="1"/>
  <c r="I35" i="3"/>
  <c r="D34" i="3"/>
  <c r="F38" i="3"/>
  <c r="I38" i="3" s="1"/>
  <c r="F28" i="3"/>
  <c r="D28" i="3" s="1"/>
  <c r="D30" i="4"/>
  <c r="J34" i="4"/>
  <c r="I36" i="4"/>
  <c r="D26" i="4" l="1"/>
  <c r="G26" i="4" s="1"/>
  <c r="D22" i="4"/>
  <c r="D27" i="4"/>
  <c r="G27" i="4" s="1"/>
  <c r="D24" i="4"/>
  <c r="G24" i="4" s="1"/>
  <c r="D23" i="4"/>
  <c r="G23" i="4" s="1"/>
  <c r="F20" i="3"/>
  <c r="F21" i="3"/>
  <c r="I22" i="4" l="1"/>
  <c r="D21" i="3"/>
  <c r="I21" i="3"/>
  <c r="D20" i="3"/>
  <c r="F14" i="3"/>
  <c r="D14" i="3" s="1"/>
  <c r="F24" i="3"/>
  <c r="I24" i="3" s="1"/>
  <c r="D14" i="4"/>
  <c r="J20" i="4"/>
  <c r="I24" i="4"/>
  <c r="D11" i="4" l="1"/>
  <c r="G11" i="4" s="1"/>
  <c r="D6" i="4"/>
  <c r="D10" i="4"/>
  <c r="G10" i="4" s="1"/>
  <c r="D8" i="4"/>
  <c r="G8" i="4" s="1"/>
  <c r="I7" i="4" s="1"/>
  <c r="D7" i="4"/>
  <c r="G7" i="4" s="1"/>
  <c r="F7" i="3"/>
  <c r="I7" i="3" s="1"/>
  <c r="F6" i="3"/>
  <c r="I8" i="4" l="1"/>
  <c r="F8" i="3"/>
  <c r="I8" i="3" s="1"/>
  <c r="D6" i="3"/>
  <c r="D7" i="3" s="1"/>
  <c r="F10" i="3"/>
  <c r="I10" i="3" s="1"/>
  <c r="F11" i="3"/>
  <c r="I11" i="3" s="1"/>
  <c r="I6" i="3"/>
  <c r="J4" i="4"/>
  <c r="G6" i="4"/>
  <c r="I14" i="3" l="1"/>
  <c r="H14" i="3" s="1"/>
  <c r="H20" i="3" s="1"/>
  <c r="I20" i="3" s="1"/>
  <c r="I28" i="3" s="1"/>
  <c r="H28" i="3" s="1"/>
  <c r="H34" i="3" s="1"/>
  <c r="I34" i="3" s="1"/>
  <c r="I42" i="3" s="1"/>
  <c r="H42" i="3" s="1"/>
  <c r="H48" i="3" s="1"/>
  <c r="I48" i="3" s="1"/>
  <c r="I58" i="3" s="1"/>
  <c r="H58" i="3" s="1"/>
  <c r="H64" i="3" s="1"/>
  <c r="I64" i="3" s="1"/>
  <c r="I74" i="3" s="1"/>
  <c r="H74" i="3" s="1"/>
  <c r="H80" i="3" s="1"/>
  <c r="I80" i="3" s="1"/>
  <c r="I91" i="3" s="1"/>
  <c r="H91" i="3" s="1"/>
  <c r="H97" i="3" s="1"/>
  <c r="I97" i="3" s="1"/>
  <c r="I107" i="3" s="1"/>
  <c r="H107" i="3" s="1"/>
  <c r="E8" i="1" s="1"/>
  <c r="I5" i="4"/>
  <c r="G14" i="4"/>
  <c r="F14" i="4" s="1"/>
  <c r="F22" i="4" s="1"/>
  <c r="G22" i="4" s="1"/>
  <c r="I21" i="4" l="1"/>
  <c r="G30" i="4"/>
  <c r="F30" i="4" s="1"/>
  <c r="F36" i="4" s="1"/>
  <c r="G36" i="4" s="1"/>
  <c r="I35" i="4" l="1"/>
  <c r="G44" i="4"/>
  <c r="F44" i="4" s="1"/>
  <c r="F50" i="4" s="1"/>
  <c r="G50" i="4" s="1"/>
  <c r="I49" i="4" l="1"/>
  <c r="G60" i="4"/>
  <c r="F60" i="4" s="1"/>
  <c r="F66" i="4" s="1"/>
  <c r="G66" i="4" s="1"/>
  <c r="I65" i="4" l="1"/>
  <c r="G76" i="4"/>
  <c r="F76" i="4" s="1"/>
  <c r="F82" i="4" s="1"/>
  <c r="G82" i="4" s="1"/>
  <c r="G92" i="4" l="1"/>
  <c r="F92" i="4" s="1"/>
  <c r="F98" i="4" s="1"/>
  <c r="G98" i="4" s="1"/>
  <c r="I81" i="4"/>
  <c r="I97" i="4" l="1"/>
  <c r="G108" i="4"/>
  <c r="F108" i="4" s="1"/>
  <c r="D8" i="1" s="1"/>
</calcChain>
</file>

<file path=xl/sharedStrings.xml><?xml version="1.0" encoding="utf-8"?>
<sst xmlns="http://schemas.openxmlformats.org/spreadsheetml/2006/main" count="3156" uniqueCount="749">
  <si>
    <t>Evaluation of the Data, based on LCA methode</t>
  </si>
  <si>
    <t>List of Methods:</t>
  </si>
  <si>
    <t>Results:</t>
  </si>
  <si>
    <t>IPCC 2021 | climate change | global warming potential (GWP100)</t>
  </si>
  <si>
    <t>ReCiPe 2016 v1.03, endpoint (E) | ecosystem quality | acidification: terrestrial</t>
  </si>
  <si>
    <t>Relative Comparison</t>
  </si>
  <si>
    <t>ReCiPe 2016 v1.03, endpoint (E) | ecosystem quality | climate change: freshwater ecosystems</t>
  </si>
  <si>
    <t>Merck Synthesis Route</t>
  </si>
  <si>
    <t>Suggested Route</t>
  </si>
  <si>
    <t>Methode</t>
  </si>
  <si>
    <t>ReCiPe 2016 v1.03, endpoint (E) | ecosystem quality | climate change: terrestrial ecosystems</t>
  </si>
  <si>
    <t>LCI Category</t>
  </si>
  <si>
    <t>Letermovir</t>
  </si>
  <si>
    <t>unit</t>
  </si>
  <si>
    <t>Letermovir Merck</t>
  </si>
  <si>
    <t>Letermovir Carreira</t>
  </si>
  <si>
    <t>Letermovir Careirra</t>
  </si>
  <si>
    <t>ReCiPe 2016 v1.03, endpoint (E) | ecosystem quality | ecotoxicity: freshwater</t>
  </si>
  <si>
    <t>kg CO2-Eq</t>
  </si>
  <si>
    <t>IPCC 2013 | climate change | global warming potential (GWP100)</t>
  </si>
  <si>
    <t>ReCiPe 2016 v1.03, endpoint (E) | ecosystem quality | ecotoxicity: marine</t>
  </si>
  <si>
    <t>species.yr</t>
  </si>
  <si>
    <t>ReCiPe 2016 v1.03, endpoint (E) | ecosystem quality | ecotoxicity: terrestrial</t>
  </si>
  <si>
    <t>ReCiPe 2016 v1.03, endpoint (E) | ecosystem quality | eutrophication: freshwater</t>
  </si>
  <si>
    <t>ReCiPe 2016 v1.03, endpoint (E) | ecosystem quality | eutrophication: marine</t>
  </si>
  <si>
    <t>ReCiPe 2016 v1.03, endpoint (E) | ecosystem quality | land use</t>
  </si>
  <si>
    <t>ReCiPe 2016 v1.03, endpoint (E) | ecosystem quality | photochemical oxidant formation: terrestrial ecosystems</t>
  </si>
  <si>
    <t>ReCiPe 2016 v1.03, endpoint (E) | ecosystem quality | water use: aquatic ecosystems</t>
  </si>
  <si>
    <t>Recovery Rate Catalyst</t>
  </si>
  <si>
    <t>ReCiPe 2016 v1.03, endpoint (E) | ecosystem quality | water use: terrestrial ecosystems</t>
  </si>
  <si>
    <t>ReCiPe 2016 v1.03, endpoint (E) | human health | climate change: human health</t>
  </si>
  <si>
    <t>Recovery Rate Catalyst (IDPi-1), pleae adjust in „B.1. Chiral Cat This Work“</t>
  </si>
  <si>
    <t>ReCiPe 2016 v1.03, endpoint (E) | human health | human toxicity: carcinogenic</t>
  </si>
  <si>
    <t>ReCiPe 2016 v1.03, endpoint (E) | human health | human toxicity: non-carcinogenic</t>
  </si>
  <si>
    <t>ReCiPe 2016 v1.03, endpoint (E) | human health | ionising radiation</t>
  </si>
  <si>
    <t>ReCiPe 2016 v1.03, endpoint (E) | human health | ozone depletion</t>
  </si>
  <si>
    <t>DALYs</t>
  </si>
  <si>
    <t>ReCiPe 2016 v1.03, endpoint (E) | human health | particulate matter formation</t>
  </si>
  <si>
    <t>ReCiPe 2016 v1.03, endpoint (E) | human health | photochemical oxidant formation: human health</t>
  </si>
  <si>
    <t>ReCiPe 2016 v1.03, endpoint (E) | human health | water use: human health</t>
  </si>
  <si>
    <t>ReCiPe 2016 v1.03, endpoint (E) | natural resources | energy resources: non-renewable, fossil</t>
  </si>
  <si>
    <t>ReCiPe 2016 v1.03, endpoint (E) | natural resources | material resources: metals/minerals</t>
  </si>
  <si>
    <t>ReCiPe 2016 v1.03, endpoint (E) | total: ecosystem quality | ecosystem quality</t>
  </si>
  <si>
    <t>ReCiPe 2016 v1.03, endpoint (E) | total: human health | human health</t>
  </si>
  <si>
    <t>ReCiPe 2016 v1.03, endpoint (E) | total: natural resources | natural resources</t>
  </si>
  <si>
    <t>USD 2013</t>
  </si>
  <si>
    <t>Copy and Paste Methode below:</t>
  </si>
  <si>
    <t>Data Sheet</t>
  </si>
  <si>
    <t>CHOSE METHODE HERE</t>
  </si>
  <si>
    <t>index</t>
  </si>
  <si>
    <t>amount</t>
  </si>
  <si>
    <t>reference product</t>
  </si>
  <si>
    <t>name</t>
  </si>
  <si>
    <t>location</t>
  </si>
  <si>
    <t>database</t>
  </si>
  <si>
    <t>dimethyl sulfoxide | dimethyl sulfoxide production | RER | kilogram | ecoinvent-3.10-cutoff</t>
  </si>
  <si>
    <t>kilogram</t>
  </si>
  <si>
    <t>dimethyl sulfoxide</t>
  </si>
  <si>
    <t>dimethyl sulfoxide production</t>
  </si>
  <si>
    <t>RER</t>
  </si>
  <si>
    <t>ecoinvent-3.10-cutoff</t>
  </si>
  <si>
    <t>tetrahydrofuran | tetrahydrofuran production | RER | kilogram | ecoinvent-3.10-cutoff</t>
  </si>
  <si>
    <t>tetrahydrofuran</t>
  </si>
  <si>
    <t>tetrahydrofuran production</t>
  </si>
  <si>
    <t>acrylonitrile | market for acrylonitrile | GLO | kilogram | ecoinvent-3.10-cutoff</t>
  </si>
  <si>
    <t>acrylonitrile</t>
  </si>
  <si>
    <t>market for acrylonitrile</t>
  </si>
  <si>
    <t>GLO</t>
  </si>
  <si>
    <t>neutralising agent, sodium hydroxide-equivalent | sodium hydroxide to generic market for neutralising agent | RER | kilogram | ecoinvent-3.10-cutoff</t>
  </si>
  <si>
    <t>neutralising agent, sodium hydroxide-equivalent</t>
  </si>
  <si>
    <t>sodium hydroxide to generic market for neutralising agent</t>
  </si>
  <si>
    <t>methanol | market for methanol | RoW | kilogram | ecoinvent-3.10-cutoff</t>
  </si>
  <si>
    <t>methanol</t>
  </si>
  <si>
    <t>market for methanol</t>
  </si>
  <si>
    <t>RoW</t>
  </si>
  <si>
    <t>aniline | market for aniline | RER | kilogram | ecoinvent-3.10-cutoff</t>
  </si>
  <si>
    <t>aniline</t>
  </si>
  <si>
    <t>market for aniline</t>
  </si>
  <si>
    <t>nitrobenzene | nitrobenzene production | RER | kilogram | ecoinvent-3.10-cutoff</t>
  </si>
  <si>
    <t>nitrobenzene</t>
  </si>
  <si>
    <t>nitrobenzene production</t>
  </si>
  <si>
    <t>chloronitrobenzene | chloronitrobenzene production | RER | kilogram | ecoinvent-3.10-cutoff</t>
  </si>
  <si>
    <t>chloronitrobenzene</t>
  </si>
  <si>
    <t>chloronitrobenzene production</t>
  </si>
  <si>
    <t>chlorine, gaseous | market for chlorine, gaseous | RER | kilogram | ecoinvent-3.10-cutoff</t>
  </si>
  <si>
    <t>chlorine, gaseous</t>
  </si>
  <si>
    <t>market for chlorine, gaseous</t>
  </si>
  <si>
    <t>ammonia, anhydrous, liquid | market for ammonia, anhydrous, liquid | RER | kilogram | ecoinvent-3.10-cutoff</t>
  </si>
  <si>
    <t>ammonia, anhydrous, liquid</t>
  </si>
  <si>
    <t>market for ammonia, anhydrous, liquid</t>
  </si>
  <si>
    <t>hydrogen peroxide, without water, in 50% solution state | market for hydrogen peroxide, without water, in 50% solution state | RER | kilogram | ecoinvent-3.10-cutoff</t>
  </si>
  <si>
    <t>hydrogen peroxide, without water, in 50% solution state</t>
  </si>
  <si>
    <t>market for hydrogen peroxide, without water, in 50% solution state</t>
  </si>
  <si>
    <t>magnesium sulfate | market for magnesium sulfate | GLO | kilogram | ecoinvent-3.10-cutoff</t>
  </si>
  <si>
    <t>magnesium sulfate</t>
  </si>
  <si>
    <t>market for magnesium sulfate</t>
  </si>
  <si>
    <t>sulfuric acid | market for sulfuric acid | RER | kilogram | ecoinvent-3.10-cutoff</t>
  </si>
  <si>
    <t>sulfuric acid</t>
  </si>
  <si>
    <t>market for sulfuric acid</t>
  </si>
  <si>
    <t>trifluoroacetic acid | market for trifluoroacetic acid | RER | kilogram | ecoinvent-3.10-cutoff</t>
  </si>
  <si>
    <t>trifluoroacetic acid</t>
  </si>
  <si>
    <t>market for trifluoroacetic acid</t>
  </si>
  <si>
    <t>isopropyl acetate | isopropyl acetate production | RER | kilogram | ecoinvent-3.10-cutoff</t>
  </si>
  <si>
    <t>isopropyl acetate</t>
  </si>
  <si>
    <t>isopropyl acetate production</t>
  </si>
  <si>
    <t>ethyl acetate | ethyl acetate production | RER | kilogram | ecoinvent-3.10-cutoff</t>
  </si>
  <si>
    <t>ethyl acetate</t>
  </si>
  <si>
    <t>ethyl acetate production</t>
  </si>
  <si>
    <t>sodium hydroxide, without water, in 50% solution state | market for sodium hydroxide, without water, in 50% solution state | RER | kilogram | ecoinvent-3.10-cutoff</t>
  </si>
  <si>
    <t>sodium hydroxide, without water, in 50% solution state</t>
  </si>
  <si>
    <t>market for sodium hydroxide, without water, in 50% solution state</t>
  </si>
  <si>
    <t>methyl acrylate | market for methyl acrylate | GLO | kilogram | ecoinvent-3.10-cutoff</t>
  </si>
  <si>
    <t>methyl acrylate</t>
  </si>
  <si>
    <t>market for methyl acrylate</t>
  </si>
  <si>
    <t>toluene, liquid | market for toluene, liquid | RoW | kilogram | ecoinvent-3.10-cutoff</t>
  </si>
  <si>
    <t>toluene, liquid</t>
  </si>
  <si>
    <t>market for toluene, liquid</t>
  </si>
  <si>
    <t>salicylic acid | salicylic acid production | GLO | kilogram | ecoinvent-3.10-cutoff</t>
  </si>
  <si>
    <t>salicylic acid</t>
  </si>
  <si>
    <t>salicylic acid production</t>
  </si>
  <si>
    <t>dichloromethane | dichloromethane production | RER | kilogram | ecoinvent-3.10-cutoff</t>
  </si>
  <si>
    <t>dichloromethane</t>
  </si>
  <si>
    <t>dichloromethane production</t>
  </si>
  <si>
    <t>phosphorus pentachloride | phosphorus pentachloride production | RoW | kilogram | ecoinvent-3.10-cutoff</t>
  </si>
  <si>
    <t>phosphorus pentachloride</t>
  </si>
  <si>
    <t>phosphorus pentachloride production</t>
  </si>
  <si>
    <t>bromine | bromine production | RER | kilogram | ecoinvent-3.10-cutoff</t>
  </si>
  <si>
    <t>bromine</t>
  </si>
  <si>
    <t>bromine production</t>
  </si>
  <si>
    <t>hexane | market for hexane | GLO | kilogram | ecoinvent-3.10-cutoff</t>
  </si>
  <si>
    <t>hexane</t>
  </si>
  <si>
    <t>market for hexane</t>
  </si>
  <si>
    <t>palladium | market for palladium | GLO | kilogram | ecoinvent-3.10-cutoff</t>
  </si>
  <si>
    <t>palladium</t>
  </si>
  <si>
    <t>market for palladium</t>
  </si>
  <si>
    <t>isobutane | natural gas liquids fractionation | GLO | kilogram | ecoinvent-3.10-cutoff</t>
  </si>
  <si>
    <t>isobutane</t>
  </si>
  <si>
    <t>natural gas liquids fractionation</t>
  </si>
  <si>
    <t>ethanol, without water, in 99.7% solution state, from ethylene | ethanol production, ethylene hydration | RER | kilogram | ecoinvent-3.10-cutoff</t>
  </si>
  <si>
    <t>ethanol, without water, in 99.7% solution state, from ethylene</t>
  </si>
  <si>
    <t>ethanol production, ethylene hydration</t>
  </si>
  <si>
    <t>acetonitrile | acrylonitrile production, Sohio process | RER | kilogram | ecoinvent-3.10-cutoff</t>
  </si>
  <si>
    <t>acetonitrile</t>
  </si>
  <si>
    <t>acrylonitrile production, Sohio process</t>
  </si>
  <si>
    <t>water, ultrapure | water production, ultrapure | RER | kilogram | ecoinvent-3.10-cutoff</t>
  </si>
  <si>
    <t>water, ultrapure</t>
  </si>
  <si>
    <t>water production, ultrapure</t>
  </si>
  <si>
    <t>toluene, liquid | BTX production, from pyrolysis gas, average | RER | kilogram | ecoinvent-3.10-cutoff</t>
  </si>
  <si>
    <t>BTX production, from pyrolysis gas, average</t>
  </si>
  <si>
    <t>hexane | hydrocarbons purification, molecular sieve separation of naphtha  | RER | kilogram | ecoinvent-3.10-cutoff</t>
  </si>
  <si>
    <t>hydrocarbons purification, molecular sieve separation of naphtha </t>
  </si>
  <si>
    <t>pentane | pentane production | RER | kilogram | ecoinvent-3.10-cutoff</t>
  </si>
  <si>
    <t>pentane</t>
  </si>
  <si>
    <t>pentane production</t>
  </si>
  <si>
    <t>sodium hydroxide, without water, in 50% solution state | chlor-alkali electrolysis, average production | RER | kilogram | ecoinvent-3.10-cutoff</t>
  </si>
  <si>
    <t>chlor-alkali electrolysis, average production</t>
  </si>
  <si>
    <t>acetonitrile | Sohio process | RER | kilogram | Ecoinvent 3.9.1</t>
  </si>
  <si>
    <t>Sohio process</t>
  </si>
  <si>
    <t>Ecoinvent 3.9.1-cutoff</t>
  </si>
  <si>
    <t xml:space="preserve">CPME </t>
  </si>
  <si>
    <t>-</t>
  </si>
  <si>
    <t>Economic Allocation</t>
  </si>
  <si>
    <t>2-Methyl THF</t>
  </si>
  <si>
    <t>methyl tert-butyl ether | methyl tert-butyl ether production | RoW | kilogram | Ecoinvent 3.9.1</t>
  </si>
  <si>
    <t>methyl tert-butyl ether</t>
  </si>
  <si>
    <t>methyl tert-butyl ether production</t>
  </si>
  <si>
    <t>sulfur trioxide | market for sulfur trioxide | RER | kilogram | ecoinvent-3.10-cutoff</t>
  </si>
  <si>
    <t>sulfur trioxide</t>
  </si>
  <si>
    <t>market for sulfur trioxide</t>
  </si>
  <si>
    <t>methyl acrylate | methyl acrylate production | GLO | kilogram | ecoinvent-3.10-cutoff</t>
  </si>
  <si>
    <t>methyl acrylate production</t>
  </si>
  <si>
    <t>sodium phosphate | sodium phosphate production | RER | kilogram | ecoinvent-3.10-cutoff</t>
  </si>
  <si>
    <t>sodium phosphate</t>
  </si>
  <si>
    <t>sodium phosphate production</t>
  </si>
  <si>
    <t>aminopyridine | aminopyridine production, Chichibabin amination | RER | kilogram | ecoinvent-3.10-cutoff</t>
  </si>
  <si>
    <t>aminopyridine</t>
  </si>
  <si>
    <t>aminopyridine production, Chichibabin amination</t>
  </si>
  <si>
    <t>potassium hydroxide | potassium hydroxide production | RER | kilogram | ecoinvent-3.10-cutoff</t>
  </si>
  <si>
    <t>potassium hydroxide</t>
  </si>
  <si>
    <t>potassium hydroxide production</t>
  </si>
  <si>
    <t>citric acid | citric acid production | RER | kilogram | ecoinvent-3.10-cutoff</t>
  </si>
  <si>
    <t>citric acid</t>
  </si>
  <si>
    <t>citric acid production</t>
  </si>
  <si>
    <t>3-methylpyridine | 3-methylpyridine production | RER | kilogram | ecoinvent-3.10-cutoff</t>
  </si>
  <si>
    <t>3-methylpyridine</t>
  </si>
  <si>
    <t>3-methylpyridine production</t>
  </si>
  <si>
    <t>acetone, liquid | acetone production, from isopropanol | RER | kilogram | ecoinvent-3.10-cutoff</t>
  </si>
  <si>
    <t>acetone, liquid</t>
  </si>
  <si>
    <t>acetone production, from isopropanol</t>
  </si>
  <si>
    <t>trifluoroacetic acid | trifluoroacetic acid production | RER | kilogram | ecoinvent-3.10-cutoff</t>
  </si>
  <si>
    <t>trifluoroacetic acid production</t>
  </si>
  <si>
    <t>pyridine-compound | pyridine-compound production | RER | kilogram | ecoinvent-3.10-cutoff</t>
  </si>
  <si>
    <t>pyridine-compound</t>
  </si>
  <si>
    <t>pyridine-compound production</t>
  </si>
  <si>
    <t>ethylene diamine | ethylene diamine production, from ethanolamine | RER | kilogram | ecoinvent-3.10-cutoff</t>
  </si>
  <si>
    <t>ethylene diamine</t>
  </si>
  <si>
    <t>ethylene diamine production, from ethanolamine</t>
  </si>
  <si>
    <t>monochlorobenzene | chlorobenzenes production, benzene chlorination | RER | kilogram | ecoinvent-3.10-cutoff</t>
  </si>
  <si>
    <t>monochlorobenzene</t>
  </si>
  <si>
    <t>chlorobenzenes production, benzene chlorination</t>
  </si>
  <si>
    <t>ethylamine | ethylamine production | RER | kilogram | ecoinvent-3.10-cutoff</t>
  </si>
  <si>
    <t>ethylamine</t>
  </si>
  <si>
    <t>ethylamine production</t>
  </si>
  <si>
    <t>acetaldehyde | acetaldehyde production, ethylene oxidation | RER | kilogram | ecoinvent-3.10-cutoff</t>
  </si>
  <si>
    <t>acetaldehyde</t>
  </si>
  <si>
    <t>acetaldehyde production, ethylene oxidation</t>
  </si>
  <si>
    <t>thionyl chloride</t>
  </si>
  <si>
    <t>thionyl chloride production</t>
  </si>
  <si>
    <t>Ecoinvent 3.9.1</t>
  </si>
  <si>
    <t>lithium aluminium hydride</t>
  </si>
  <si>
    <t>market for lithium aluminium hydride</t>
  </si>
  <si>
    <t>ecoinvent-3.11-cutoff</t>
  </si>
  <si>
    <t>acetyl chloride | acetyl chloride production | RER | kilogram | ecoinvent-3.10-cutoff</t>
  </si>
  <si>
    <t>acetyl chloride</t>
  </si>
  <si>
    <t>acetyl chloride production</t>
  </si>
  <si>
    <t>triethyl amine | market for triethyl amine | GLO | kilogram | ecoinvent-3.10-cutoff</t>
  </si>
  <si>
    <t>triethyl amine</t>
  </si>
  <si>
    <t>market for triethyl amine</t>
  </si>
  <si>
    <t>pyridine | market for pyridine | GLO | kilogram | ecoinvent-3.10-cutoff</t>
  </si>
  <si>
    <t>pyridine</t>
  </si>
  <si>
    <t>market for pyridine</t>
  </si>
  <si>
    <t>dimethylamine | market for dimethylamine | RER | kilogram | ecoinvent-3.10-cutoff</t>
  </si>
  <si>
    <t>dimethylamine</t>
  </si>
  <si>
    <t>market for dimethylamine</t>
  </si>
  <si>
    <t>alpha-naphthol | market for alpha-naphthol | GLO | kilogram | ecoinvent-3.10-cutoff</t>
  </si>
  <si>
    <t>alpha-naphthol</t>
  </si>
  <si>
    <t>market for alpha-naphthol</t>
  </si>
  <si>
    <t>iron(III) chloride, without water, in 40% solution state | market for iron(III) chloride, without water, in 40% solution state | GLO | kilogram | ecoinvent-3.10-cutoff</t>
  </si>
  <si>
    <t>iron(III) chloride, without water, in 40% solution state</t>
  </si>
  <si>
    <t>market for iron(III) chloride, without water, in 40% solution state</t>
  </si>
  <si>
    <t>water, completely softened | market for water, completely softened | RER | kilogram | ecoinvent-3.10-cutoff</t>
  </si>
  <si>
    <t>water, completely softened</t>
  </si>
  <si>
    <t>market for water, completely softened</t>
  </si>
  <si>
    <t>ethanol, without water, in 99.7% solution state, from ethylene | market for ethanol, without water, in 99.7% solution state, from ethylene | RER | kilogram | ecoinvent-3.10-cutoff</t>
  </si>
  <si>
    <t>market for ethanol, without water, in 99.7% solution state, from ethylene</t>
  </si>
  <si>
    <t>acetonitrile | market for acetonitrile | GLO | kilogram | ecoinvent-3.10-cutoff</t>
  </si>
  <si>
    <t>market for acetonitrile</t>
  </si>
  <si>
    <t>ethyl acetate | market for ethyl acetate | GLO | kilogram | ecoinvent-3.10-cutoff</t>
  </si>
  <si>
    <t>market for ethyl acetate</t>
  </si>
  <si>
    <t>hydrochloric acid, without water, in 30% solution state | market for hydrochloric acid, without water, in 30% solution state | RER | kilogram | ecoinvent-3.10-cutoff</t>
  </si>
  <si>
    <t>hydrochloric acid, without water, in 30% solution state</t>
  </si>
  <si>
    <t>market for hydrochloric acid, without water, in 30% solution state</t>
  </si>
  <si>
    <t>methanol | market for methanol | RER | kilogram | ecoinvent-3.10-cutoff</t>
  </si>
  <si>
    <t>sodium chloride, powder | market for sodium chloride, powder | GLO | kilogram | ecoinvent-3.10-cutoff</t>
  </si>
  <si>
    <t>sodium chloride, powder</t>
  </si>
  <si>
    <t>market for sodium chloride, powder</t>
  </si>
  <si>
    <t>chloromethyl methyl ether | market for chloromethyl methyl ether | RER | kilogram | ecoinvent-3.10-cutoff</t>
  </si>
  <si>
    <t>chloromethyl methyl ether</t>
  </si>
  <si>
    <t>market for chloromethyl methyl ether</t>
  </si>
  <si>
    <t>ammonium chloride | market for ammonium chloride | GLO | kilogram | ecoinvent-3.10-cutoff</t>
  </si>
  <si>
    <t>ammonium chloride</t>
  </si>
  <si>
    <t>market for ammonium chloride</t>
  </si>
  <si>
    <t>dichloromethane | market for dichloromethane | RER | kilogram | ecoinvent-3.10-cutoff</t>
  </si>
  <si>
    <t>market for dichloromethane</t>
  </si>
  <si>
    <t>diethyl ether, without water, in 99.95% solution state | market for diethyl ether, without water, in 99.95% solution state | RER | kilogram | ecoinvent-3.10-cutoff</t>
  </si>
  <si>
    <t>diethyl ether, without water, in 99.95% solution state</t>
  </si>
  <si>
    <t>market for diethyl ether, without water, in 99.95% solution state</t>
  </si>
  <si>
    <t>dioxane | market for dioxane | RER | kilogram | ecoinvent-3.10-cutoff</t>
  </si>
  <si>
    <t>dioxane</t>
  </si>
  <si>
    <t>market for dioxane</t>
  </si>
  <si>
    <t>potassium carbonate | market for potassium carbonate | GLO | kilogram | ecoinvent-3.10-cutoff</t>
  </si>
  <si>
    <t>potassium carbonate</t>
  </si>
  <si>
    <t>market for potassium carbonate</t>
  </si>
  <si>
    <t>metal catalyst for catalytic converter | palladium to generic market for metal catalyst for catalytic converter | GLO | kilogram | ecoinvent-3.10-cutoff</t>
  </si>
  <si>
    <t>metal catalyst for catalytic converter</t>
  </si>
  <si>
    <t>palladium to generic market for metal catalyst for catalytic converter</t>
  </si>
  <si>
    <t>hexamethyldisilazane | market for hexamethyldisilazane | GLO | kilogram | ecoinvent-3.10-cutoff</t>
  </si>
  <si>
    <t>hexamethyldisilazane</t>
  </si>
  <si>
    <t>market for hexamethyldisilazane</t>
  </si>
  <si>
    <t>m-nitrotoluene | market for m-nitrotoluene | GLO | kilogram | ecoinvent-3.10-cutoff</t>
  </si>
  <si>
    <t>m-nitrotoluene</t>
  </si>
  <si>
    <t>market for m-nitrotoluene</t>
  </si>
  <si>
    <t>2-butanol | market for 2-butanol | RER | kilogram | ecoinvent-3.10-cutoff</t>
  </si>
  <si>
    <t>2-butanol</t>
  </si>
  <si>
    <t>market for 2-butanol</t>
  </si>
  <si>
    <t>methyl acetate | market for methyl acetate | GLO | kilogram | ecoinvent-3.10-cutoff</t>
  </si>
  <si>
    <t>methyl acetate</t>
  </si>
  <si>
    <t>market for methyl acetate</t>
  </si>
  <si>
    <t>organocat PTC| organocat PTC | GLO | unit | Organocat</t>
  </si>
  <si>
    <t>kg</t>
  </si>
  <si>
    <t>organocat PTC</t>
  </si>
  <si>
    <t>Organocat, ecoinvent-3.10-cutoff</t>
  </si>
  <si>
    <t>xylene, mixed | market for xylene, mixed | RoW | kilogram | ecoinvent-3.10-cutoff</t>
  </si>
  <si>
    <t>xylene, mixed</t>
  </si>
  <si>
    <t>market for xylene, mixed</t>
  </si>
  <si>
    <t>hydrogen fluoride | market for hydrogen fluoride | RoW | kilogram | ecoinvent-3.10-cutoff</t>
  </si>
  <si>
    <t>hydrogen fluoride</t>
  </si>
  <si>
    <t>market for hydrogen fluoride</t>
  </si>
  <si>
    <t>N,N-dimethylformamide | market for N,N-dimethylformamide | GLO | kilogram | ecoinvent-3.10-cutoff</t>
  </si>
  <si>
    <t>N,N-dimethylformamide</t>
  </si>
  <si>
    <t>market for N,N-dimethylformamide</t>
  </si>
  <si>
    <t>sodium tetrahydridoborate | market for sodium tetrahydridoborate | GLO | kilogram | ecoinvent-3.10-cutoff</t>
  </si>
  <si>
    <t>sodium tetrahydridoborate</t>
  </si>
  <si>
    <t>market for sodium tetrahydridoborate</t>
  </si>
  <si>
    <t>boric oxide | market for boric oxide | GLO | kilogram | ecoinvent-3.10-cutoff</t>
  </si>
  <si>
    <t>boric oxide</t>
  </si>
  <si>
    <t>market for boric oxide</t>
  </si>
  <si>
    <t>isopropanol | market for isopropanol | RoW | kilogram | ecoinvent-3.10-cutoff</t>
  </si>
  <si>
    <t>isopropanol</t>
  </si>
  <si>
    <t>market for isopropanol</t>
  </si>
  <si>
    <t>nitric acid, without water, in 50% solution state | market for nitric acid, without water, in 50% solution state | RoW | kilogram | ecoinvent-3.10-cutoff</t>
  </si>
  <si>
    <t>nitric acid, without water, in 50% solution state</t>
  </si>
  <si>
    <t>market for nitric acid, without water, in 50% solution state</t>
  </si>
  <si>
    <t>hydrogen, gaseous, medium pressure, merchant | market for hydrogen, gaseous, medium pressure, merchant | RER | kilogram | ecoinvent-3.10-cutoff</t>
  </si>
  <si>
    <t>hydrogen, gaseous, medium pressure, merchant</t>
  </si>
  <si>
    <t>market for hydrogen, gaseous, medium pressure, merchant</t>
  </si>
  <si>
    <t>diborane | market for diborane | GLO | kilogram | ecoinvent-3.10-cutoff</t>
  </si>
  <si>
    <t>diborane</t>
  </si>
  <si>
    <t>market for diborane</t>
  </si>
  <si>
    <t>dimethyl sulfide | market for dimethyl sulfide | GLO | kilogram | ecoinvent-3.10-cutoff</t>
  </si>
  <si>
    <t>dimethyl sulfide</t>
  </si>
  <si>
    <t>market for dimethyl sulfide</t>
  </si>
  <si>
    <t>magnesium oxide | market for magnesium oxide | GLO | kilogram | ecoinvent-3.10-cutoff</t>
  </si>
  <si>
    <t>magnesium oxide</t>
  </si>
  <si>
    <t>market for magnesium oxide</t>
  </si>
  <si>
    <t>phthalic anhydride | market for phthalic anhydride | GLO | kilogram | ecoinvent-3.10-cutoff</t>
  </si>
  <si>
    <t>phthalic anhydride</t>
  </si>
  <si>
    <t>market for phthalic anhydride</t>
  </si>
  <si>
    <t>sodium bicarbonate | market for sodium bicarbonate | RER | kilogram | ecoinvent-3.10-cutoff</t>
  </si>
  <si>
    <t>sodium bicarbonate</t>
  </si>
  <si>
    <t>market for sodium bicarbonate</t>
  </si>
  <si>
    <t>ethylamine | market for ethylamine | GLO | kilogram | ecoinvent-3.10-cutoff</t>
  </si>
  <si>
    <t>market for ethylamine</t>
  </si>
  <si>
    <t>dimethyl carbonate | market for dimethyl carbonate | GLO | kilogram | ecoinvent-3.10-cutoff</t>
  </si>
  <si>
    <t>dimethyl carbonate</t>
  </si>
  <si>
    <t>market for dimethyl carbonate</t>
  </si>
  <si>
    <t>chlorine, liquid | market for chlorine, liquid | RER | kilogram | ecoinvent-3.10-cutoff</t>
  </si>
  <si>
    <t>chlorine, liquid</t>
  </si>
  <si>
    <t>market for chlorine, liquid</t>
  </si>
  <si>
    <t>acrolein | market for acrolein | GLO | kilogram | ecoinvent-3.10-cutoff</t>
  </si>
  <si>
    <t>acrolein</t>
  </si>
  <si>
    <t>market for acrolein</t>
  </si>
  <si>
    <t>sodium | market for sodium | GLO | kilogram | ecoinvent-3.10-cutoff</t>
  </si>
  <si>
    <t>sodium</t>
  </si>
  <si>
    <t>market for sodium</t>
  </si>
  <si>
    <t>butane | market for butane | GLO | kilogram | ecoinvent-3.10-cutoff</t>
  </si>
  <si>
    <t>butane</t>
  </si>
  <si>
    <t>market for butane</t>
  </si>
  <si>
    <t>phenol | market for phenol | RER | kilogram | ecoinvent-3.10-cutoff</t>
  </si>
  <si>
    <t>phenol</t>
  </si>
  <si>
    <t>market for phenol</t>
  </si>
  <si>
    <t>phosgene, liquid | market for phosgene, liquid | RER | kilogram | ecoinvent-3.10-cutoff</t>
  </si>
  <si>
    <t>phosgene, liquid</t>
  </si>
  <si>
    <t>market for phosgene, liquid</t>
  </si>
  <si>
    <t>phosphorus trichloride | market for phosphorus trichloride | GLO | kilogram | ecoinvent-3.10-cutoff</t>
  </si>
  <si>
    <t>phosphorus trichloride</t>
  </si>
  <si>
    <t>market for phosphorus trichloride</t>
  </si>
  <si>
    <t>isobutanol | butanols production, hydroformylation of propylene | RoW | kilogram | ecoinvent-3.10-cutoff</t>
  </si>
  <si>
    <t>isobutanol</t>
  </si>
  <si>
    <t>butanols production, hydroformylation of propylene</t>
  </si>
  <si>
    <t>magnesium | market for magnesium | GLO | kilogram | ecoinvent-3.10-cutoff</t>
  </si>
  <si>
    <t>magnesium</t>
  </si>
  <si>
    <t>market for magnesium</t>
  </si>
  <si>
    <t>sodium nitrite | market for sodium nitrite | RER | kilogram | ecoinvent-3.10-cutoff</t>
  </si>
  <si>
    <t>sodium nitrite</t>
  </si>
  <si>
    <t>market for sodium nitrite</t>
  </si>
  <si>
    <t>2-nitroaniline | market for 2-nitroaniline | GLO | kilogram | ecoinvent-3.10-cutoff</t>
  </si>
  <si>
    <t>2-nitroaniline</t>
  </si>
  <si>
    <t>market for 2-nitroaniline</t>
  </si>
  <si>
    <t>benzene | market for benzene | RER | kilogram | ecoinvent-3.10-cutoff</t>
  </si>
  <si>
    <t>benzene</t>
  </si>
  <si>
    <t>market for benzene</t>
  </si>
  <si>
    <t>acetic acid, without water, in 98% solution state | market for acetic acid, without water, in 98% solution state | GLO | kilogram | ecoinvent-3.10-cutoff</t>
  </si>
  <si>
    <t>acetic acid, without water, in 98% solution state</t>
  </si>
  <si>
    <t>market for acetic acid, without water, in 98% solution state</t>
  </si>
  <si>
    <t>chlorosulfonic acid | market for chlorosulfonic acid | RER | kilogram | ecoinvent-3.10-cutoff</t>
  </si>
  <si>
    <t>chlorosulfonic acid</t>
  </si>
  <si>
    <t>market for chlorosulfonic acid</t>
  </si>
  <si>
    <t>aluminium chloride | market for aluminium chloride | GLO | kilogram | ecoinvent-3.10-cutoff</t>
  </si>
  <si>
    <t>aluminium chloride</t>
  </si>
  <si>
    <t>market for aluminium chloride</t>
  </si>
  <si>
    <t>dimethyl sulfate | market for dimethyl sulfate | RoW | kilogram | ecoinvent-3.10-cutoff</t>
  </si>
  <si>
    <t>dimethyl sulfate</t>
  </si>
  <si>
    <t>market for dimethyl sulfate</t>
  </si>
  <si>
    <t>Letermovir 1kg cumulative NCCR</t>
  </si>
  <si>
    <t xml:space="preserve">Step 1 </t>
  </si>
  <si>
    <t>Synthesis of Methyl-(E)-3-(2-amino-3-fluorophenyl)acrylate</t>
  </si>
  <si>
    <t>Ref</t>
  </si>
  <si>
    <t>Reactants</t>
  </si>
  <si>
    <t>Given Stoichiometry</t>
  </si>
  <si>
    <t>Unit</t>
  </si>
  <si>
    <t>Moles</t>
  </si>
  <si>
    <t>Mass Stoich</t>
  </si>
  <si>
    <t>GWP kgCO2-eq/kg</t>
  </si>
  <si>
    <t>GWP kgCO2-eq</t>
  </si>
  <si>
    <t>2-amino-3-fluorobenzoic acid</t>
  </si>
  <si>
    <t>MW</t>
  </si>
  <si>
    <t>mol</t>
  </si>
  <si>
    <t>BH3SMe3</t>
  </si>
  <si>
    <t>1 M NaOH</t>
  </si>
  <si>
    <t>mass equiv</t>
  </si>
  <si>
    <t>1M 3.9 wt%</t>
  </si>
  <si>
    <t>Solvents</t>
  </si>
  <si>
    <t>2-Me-THF</t>
  </si>
  <si>
    <t>MeOH</t>
  </si>
  <si>
    <t>Yield</t>
  </si>
  <si>
    <t>Product</t>
  </si>
  <si>
    <t>Step 2</t>
  </si>
  <si>
    <t>Synthesis of Methyl-(E)-3-(3-flururo-2-((phenoxycarbonyl)amino)-phenyl)acrylate</t>
  </si>
  <si>
    <t>2-isothiocyanato-1-methoxy-4-(trifluoromethyl)benzene</t>
  </si>
  <si>
    <t>Step 3</t>
  </si>
  <si>
    <t>Synthesis of Methyl-(E)-3-(3-fluoro-2-(3-(2-methoxy-5-(trifluoromethyl)phenyl)ureido)phenyl)acrylate</t>
  </si>
  <si>
    <t>AcCl</t>
  </si>
  <si>
    <t>Mass Equiv</t>
  </si>
  <si>
    <t>Step 4</t>
  </si>
  <si>
    <t>Synthesis of Methyl-(E)-3-(3-fluoro-2-((((2-methoxy-5-(trifluroromethyl)phenyl)imino)methylene)amino)phenyl)acrylate</t>
  </si>
  <si>
    <t>Magnesium (monoperoxyphthalate)2</t>
  </si>
  <si>
    <t>aq. NaHCO3</t>
  </si>
  <si>
    <t>aq. 9.8 wt%</t>
  </si>
  <si>
    <t>TFAA</t>
  </si>
  <si>
    <t>NEt3</t>
  </si>
  <si>
    <t>Step 5</t>
  </si>
  <si>
    <t>Synthesis of 11a</t>
  </si>
  <si>
    <t>piperazine bis hydrochloride</t>
  </si>
  <si>
    <t>EDC HCl</t>
  </si>
  <si>
    <t>Step 6</t>
  </si>
  <si>
    <t>Synthesis of 8a</t>
  </si>
  <si>
    <t>11a</t>
  </si>
  <si>
    <t>Ketene Acetal</t>
  </si>
  <si>
    <t>Catalyst</t>
  </si>
  <si>
    <t>3 % from reac</t>
  </si>
  <si>
    <t>Sec Butanol</t>
  </si>
  <si>
    <t>Pentane</t>
  </si>
  <si>
    <t>toluene</t>
  </si>
  <si>
    <t>EtOAc</t>
  </si>
  <si>
    <t>Overall Yield</t>
  </si>
  <si>
    <t>8a</t>
  </si>
  <si>
    <t>Step 7</t>
  </si>
  <si>
    <t>Synthesis of Letermovir</t>
  </si>
  <si>
    <t>8a (8)</t>
  </si>
  <si>
    <t>Na2HPO4</t>
  </si>
  <si>
    <t>NaOH</t>
  </si>
  <si>
    <t>Acetone</t>
  </si>
  <si>
    <t>MTBE</t>
  </si>
  <si>
    <t>H2O</t>
  </si>
  <si>
    <t>Stoichiometry is taking by the relative values</t>
  </si>
  <si>
    <t>Letermovir 1 kg accumulative</t>
  </si>
  <si>
    <t>PMI</t>
  </si>
  <si>
    <t>Impact Share</t>
  </si>
  <si>
    <t>Starting Materials</t>
  </si>
  <si>
    <t>2-bromo-6-fluoroaniline</t>
  </si>
  <si>
    <t>Reagents</t>
  </si>
  <si>
    <t>Methyl acrylate</t>
  </si>
  <si>
    <t>Catalysts</t>
  </si>
  <si>
    <t>(t-Bu)3P-Pd G2</t>
  </si>
  <si>
    <t>Solvent</t>
  </si>
  <si>
    <t>iProAc</t>
  </si>
  <si>
    <t>Phenyl chloroformate</t>
  </si>
  <si>
    <t>DMAP</t>
  </si>
  <si>
    <t>PCl5</t>
  </si>
  <si>
    <t>2- picoline</t>
  </si>
  <si>
    <t>KOH</t>
  </si>
  <si>
    <t>Et3N</t>
  </si>
  <si>
    <t>NaH2PO4</t>
  </si>
  <si>
    <t>Salicylic Acid</t>
  </si>
  <si>
    <t>Toluene</t>
  </si>
  <si>
    <t>K3PO4</t>
  </si>
  <si>
    <t>Given Stoichiometry Reference</t>
  </si>
  <si>
    <t>Step 1</t>
  </si>
  <si>
    <t>Synthesis of 1,1'-bi-2-napthhol</t>
  </si>
  <si>
    <t>Product mass</t>
  </si>
  <si>
    <t>Chemicals</t>
  </si>
  <si>
    <t>Masse</t>
  </si>
  <si>
    <t>Volumen</t>
  </si>
  <si>
    <t>Density</t>
  </si>
  <si>
    <t>mmol</t>
  </si>
  <si>
    <t>equiv</t>
  </si>
  <si>
    <t>3.80 g</t>
  </si>
  <si>
    <t>2-Naphthol</t>
  </si>
  <si>
    <t>4.03 g</t>
  </si>
  <si>
    <t>FeCl3 . 6H2O</t>
  </si>
  <si>
    <t>15.14 g</t>
  </si>
  <si>
    <t>200 mL</t>
  </si>
  <si>
    <t>Ethanol</t>
  </si>
  <si>
    <t>40 mL</t>
  </si>
  <si>
    <t>Chiral resolution of 1,1'-bi-2-napthhol</t>
  </si>
  <si>
    <t>(S)</t>
  </si>
  <si>
    <t>89-93%</t>
  </si>
  <si>
    <t>10.28-10.65 g</t>
  </si>
  <si>
    <t>1,1'-bi-2-napthhol</t>
  </si>
  <si>
    <t>23.0 g</t>
  </si>
  <si>
    <t>N-benzylcinchonidinium chloride</t>
  </si>
  <si>
    <t>18.6 g</t>
  </si>
  <si>
    <t>Acetonitrile</t>
  </si>
  <si>
    <t>300 mL</t>
  </si>
  <si>
    <t>Ethyl acetate</t>
  </si>
  <si>
    <t>HCl (1N aquoues)</t>
  </si>
  <si>
    <t>sat. aq. NaCl</t>
  </si>
  <si>
    <t>100 mL</t>
  </si>
  <si>
    <t>Solid that was filtered off from step 2.1 was recrystallized</t>
  </si>
  <si>
    <t>50 mL</t>
  </si>
  <si>
    <t>( R)</t>
  </si>
  <si>
    <t>85-88%</t>
  </si>
  <si>
    <t>9.83-10.16 g</t>
  </si>
  <si>
    <t>Methanol</t>
  </si>
  <si>
    <t>120 mL</t>
  </si>
  <si>
    <t>150 mL</t>
  </si>
  <si>
    <t>MOM-protection</t>
  </si>
  <si>
    <t>12.42 g</t>
  </si>
  <si>
    <t>9.5 g</t>
  </si>
  <si>
    <t>ml</t>
  </si>
  <si>
    <t>Sodium hydride (60% in oil)</t>
  </si>
  <si>
    <t>THF</t>
  </si>
  <si>
    <t>NH4Cl sat. aq.</t>
  </si>
  <si>
    <t>CH2Cl2</t>
  </si>
  <si>
    <t>purification by column chromatography with EtOAc/hexane and then recrystallization from CH2Cl2/Hex</t>
  </si>
  <si>
    <t xml:space="preserve">ortho-Bpin </t>
  </si>
  <si>
    <t>2,2’-bis(methoxymethoxy)- 1,1’-binaphthyl</t>
  </si>
  <si>
    <t>10.00 g</t>
  </si>
  <si>
    <t>Alloaction of enantiomer, divided by 2</t>
  </si>
  <si>
    <t>Diethylether</t>
  </si>
  <si>
    <t>n-BuLi (1.6M in hexane)</t>
  </si>
  <si>
    <t>50.0 mL</t>
  </si>
  <si>
    <t>i-PrOBPin (2-isopropoxy-4,4,5,5-tetramethyl -1,3,2-dioxaborolane)</t>
  </si>
  <si>
    <t>21.8 mL</t>
  </si>
  <si>
    <t>unknown</t>
  </si>
  <si>
    <t>Ethyl Acetate</t>
  </si>
  <si>
    <t>Cross-coupling + MOM deprotection</t>
  </si>
  <si>
    <t>2,2'-(2,2'-bis(methoxymethoxy)-[1,1'-binaphthalene]-3,3'-diyl)bis(4,4,5,5-tetramethyl-1,3,2-dioxaborolane)</t>
  </si>
  <si>
    <t>2.24 g</t>
  </si>
  <si>
    <t>2-bromo-benzofuran</t>
  </si>
  <si>
    <t>1.9 g</t>
  </si>
  <si>
    <t>9.64 mmol</t>
  </si>
  <si>
    <t>1,4-dioxane</t>
  </si>
  <si>
    <t>30 mL</t>
  </si>
  <si>
    <t>K2CO3 (2.0M in H2O)</t>
  </si>
  <si>
    <t>10 mL</t>
  </si>
  <si>
    <t>20 mmol</t>
  </si>
  <si>
    <t>Pd(Ph3P)4</t>
  </si>
  <si>
    <t>0.185 g</t>
  </si>
  <si>
    <t>25 mL</t>
  </si>
  <si>
    <t>HCl 4M in 1,4-dioxane</t>
  </si>
  <si>
    <t>16 mL</t>
  </si>
  <si>
    <t>64 mmol</t>
  </si>
  <si>
    <t>HCl 1.2M aq</t>
  </si>
  <si>
    <t>NaHCO3 sat. aq.</t>
  </si>
  <si>
    <t>purification by column chromatogaphy with hex/EtOAc 19:1 to 9:1</t>
  </si>
  <si>
    <t xml:space="preserve">Step 4 </t>
  </si>
  <si>
    <t>BINOL</t>
  </si>
  <si>
    <t>1.06 g</t>
  </si>
  <si>
    <t>2.05 mmol</t>
  </si>
  <si>
    <t>P(NSO2C6F5)Cl3</t>
  </si>
  <si>
    <t>0.782 g</t>
  </si>
  <si>
    <t>2.04 mmol</t>
  </si>
  <si>
    <t>1.2 mL</t>
  </si>
  <si>
    <t>8.6 mmol</t>
  </si>
  <si>
    <t>HMDS (Hexamethyldisilazane)</t>
  </si>
  <si>
    <t>0.21 mL</t>
  </si>
  <si>
    <t>1.01 mmol</t>
  </si>
  <si>
    <t>HCl (1.2M aq)</t>
  </si>
  <si>
    <t>moles</t>
  </si>
  <si>
    <t>R_threshold</t>
  </si>
  <si>
    <t>r = (1-recovery rate)</t>
  </si>
  <si>
    <t>Recov rate</t>
  </si>
  <si>
    <t>Cycles</t>
  </si>
  <si>
    <t>molecular weight</t>
  </si>
  <si>
    <t>O[C@@H]([C@@H]1C[C@@H]2CC[N@]1C[C@@H]2C=C)C3=CC=NC4=C3C=CC=C4</t>
  </si>
  <si>
    <t>BrCC1=CC(C(F)(F)F)=CC(C(F)(F)F)=C1</t>
  </si>
  <si>
    <t>BrCC1=CC=CC(C(F)(F)F)=C1</t>
  </si>
  <si>
    <t>MeCN</t>
  </si>
  <si>
    <t>O[C@@H]([C@@H]1C[C@@H]2CC[N@@+]1(CC3=CC(C(F)(F)F)=CC(C(F)(F)F)=C3)C[C@@H]2C=C)C(C4=C5C=CC=C4)=CC=[N+]5CC6=CC=CC(C(F)(F)F)=C6</t>
  </si>
  <si>
    <t>Reagents Production (BrCC1=CC(C(F)(F)F)=CC(C(F)(F)F)=C1)</t>
  </si>
  <si>
    <t>Reagents Production BrCC1=CC=CC(C(F)(F)F)=C1</t>
  </si>
  <si>
    <t>CC1=CC(C)=CC=C1</t>
  </si>
  <si>
    <t>CC1=CC=CC=C1</t>
  </si>
  <si>
    <t>Cl2</t>
  </si>
  <si>
    <t>ClC(C1=CC(C(Cl)(Cl)Cl)=CC=C1)(Cl)Cl</t>
  </si>
  <si>
    <t>HF</t>
  </si>
  <si>
    <t>FC(C1=CC(C(F)(F)F)=CC=C1)(F)F</t>
  </si>
  <si>
    <t>H2SO4</t>
  </si>
  <si>
    <t>O=C(N1Br)N(Br)C(C)(C)C1=O</t>
  </si>
  <si>
    <t>?</t>
  </si>
  <si>
    <t>AcOH</t>
  </si>
  <si>
    <t>BrC1=CC(C(F)(F)F)=CC(C(F)(F)F)=C1</t>
  </si>
  <si>
    <t>DMF</t>
  </si>
  <si>
    <t>iPRmgCl</t>
  </si>
  <si>
    <t>O=CC1=CC(C(F)(F)F)=CC(C(F)(F)F)=C1</t>
  </si>
  <si>
    <t>NaBH4</t>
  </si>
  <si>
    <t>OCC1=CC(C(F)(F)F)=CC(C(F)(F)F)=C1</t>
  </si>
  <si>
    <t>HBr (Bromine)</t>
  </si>
  <si>
    <t>Compound</t>
  </si>
  <si>
    <t>MW [g/mol]</t>
  </si>
  <si>
    <t>g/mol</t>
  </si>
  <si>
    <t>Pd Content</t>
  </si>
  <si>
    <t>Pd</t>
  </si>
  <si>
    <t>Ligand Calculation</t>
  </si>
  <si>
    <t xml:space="preserve">Content on whole catalyst </t>
  </si>
  <si>
    <t>Tri-tert-butylphosphin</t>
  </si>
  <si>
    <t>[1,1'-biphenyl]-2-amine</t>
  </si>
  <si>
    <t>Reaction Step</t>
  </si>
  <si>
    <t>Reactant</t>
  </si>
  <si>
    <t>LCI</t>
  </si>
  <si>
    <t>product</t>
  </si>
  <si>
    <t>Cat.1.1</t>
  </si>
  <si>
    <t>tert butanol</t>
  </si>
  <si>
    <t>tert butly chloride</t>
  </si>
  <si>
    <t>HCl</t>
  </si>
  <si>
    <t>Cat.1.2</t>
  </si>
  <si>
    <t>tert butly magnesium chloride</t>
  </si>
  <si>
    <t>Cat 1.3.</t>
  </si>
  <si>
    <t>PCl3</t>
  </si>
  <si>
    <t>Cat.2.1</t>
  </si>
  <si>
    <t>2-Nitroaniline</t>
  </si>
  <si>
    <t>2-nitro-1,1'-biphenyl</t>
  </si>
  <si>
    <t>Benzene</t>
  </si>
  <si>
    <t>Sodium Nitrite</t>
  </si>
  <si>
    <t>Cat.2.2</t>
  </si>
  <si>
    <t>H2</t>
  </si>
  <si>
    <t>1kg Catalyst</t>
  </si>
  <si>
    <t>Relative Amount</t>
  </si>
  <si>
    <t>GWP per FU kgco2eq/kg</t>
  </si>
  <si>
    <t>GWP if share Accounted kgco2eq/kg</t>
  </si>
  <si>
    <t>Share in %</t>
  </si>
  <si>
    <t>Number of cycles</t>
  </si>
  <si>
    <t>Total Sum for 1kg of Catalyst (kgCO2eq/kg)</t>
  </si>
  <si>
    <t>w/recovery rate kgCO2/kg</t>
  </si>
  <si>
    <t>Recovery Rate calculation</t>
  </si>
  <si>
    <t>Equation referenced in text</t>
  </si>
  <si>
    <t xml:space="preserve">Equation </t>
  </si>
  <si>
    <t>Recovery rate</t>
  </si>
  <si>
    <t>Number of cycles n</t>
  </si>
  <si>
    <t>Merck Precursor</t>
  </si>
  <si>
    <t xml:space="preserve">Precursors </t>
  </si>
  <si>
    <t>Products</t>
  </si>
  <si>
    <t>Reagencies</t>
  </si>
  <si>
    <t>Reaction Energy</t>
  </si>
  <si>
    <t>Estimated LCI to this stage</t>
  </si>
  <si>
    <t>Literature</t>
  </si>
  <si>
    <t>P.1</t>
  </si>
  <si>
    <t>ClC1=CC=CC=C1N(=O)=O</t>
  </si>
  <si>
    <t>FC1=C(C=CC=C1)N(=O)=O</t>
  </si>
  <si>
    <t>KF</t>
  </si>
  <si>
    <t>200 C, 3h</t>
  </si>
  <si>
    <t>P.2</t>
  </si>
  <si>
    <t>NC1=C(F)C=CC=C1</t>
  </si>
  <si>
    <t>ammonium hydroxide, hydrogen</t>
  </si>
  <si>
    <t>methanol, water</t>
  </si>
  <si>
    <t>50 C, 8h</t>
  </si>
  <si>
    <t>P.3</t>
  </si>
  <si>
    <t>NC1=C(F)C=CC=C1Br</t>
  </si>
  <si>
    <t>acetic acid</t>
  </si>
  <si>
    <t>Ammonia</t>
  </si>
  <si>
    <t>chloro sulfonic acid</t>
  </si>
  <si>
    <t>HBr (simplified as Br2)</t>
  </si>
  <si>
    <t>surlfurc acid</t>
  </si>
  <si>
    <t>Assumtion 1kg of solvents per kg of reactant in each step</t>
  </si>
  <si>
    <t>Carreira Precursor</t>
  </si>
  <si>
    <t>Estimated GWP to this stage</t>
  </si>
  <si>
    <t>dimethly sulfoxide</t>
  </si>
  <si>
    <t xml:space="preserve">200 C, 3h </t>
  </si>
  <si>
    <t>ammonia hydroxide, hydrogen</t>
  </si>
  <si>
    <t>FC1=C2NC(=O)C(=O)C2=CC=C1</t>
  </si>
  <si>
    <t>P.4</t>
  </si>
  <si>
    <t>NC1=C(C=CC=C1F)C(O)=O</t>
  </si>
  <si>
    <t>dihydrogen peroxide, NaOH</t>
  </si>
  <si>
    <t>RT, 2.25 h</t>
  </si>
  <si>
    <t>old</t>
  </si>
  <si>
    <t>mCPBA</t>
  </si>
  <si>
    <t>Equiv</t>
  </si>
  <si>
    <t>ClC1=CC=C(C)C=C1&gt;&gt;</t>
  </si>
  <si>
    <t>Cl2 Gas</t>
  </si>
  <si>
    <t>NC1=CC=CC(C)=C1</t>
  </si>
  <si>
    <t>NH3</t>
  </si>
  <si>
    <t>CC1=CC([N+]([O-])=O)=CC=C1</t>
  </si>
  <si>
    <t>H2O2</t>
  </si>
  <si>
    <t>ClC1=CC=CC(C(Cl)=O)=C1</t>
  </si>
  <si>
    <t>DMF, Cl2 Gas</t>
  </si>
  <si>
    <t>P.5</t>
  </si>
  <si>
    <t>ClC1=CC=CC(C(O)=O)=C1</t>
  </si>
  <si>
    <t>P.6</t>
  </si>
  <si>
    <t>SOCl2</t>
  </si>
  <si>
    <t>P.7</t>
  </si>
  <si>
    <t>ClC1=CC=CC(C(OO)=O)=C1</t>
  </si>
  <si>
    <t>H2O2, MgSO4, H2SO4</t>
  </si>
  <si>
    <t>C1=CC=CN=C1</t>
  </si>
  <si>
    <t>[N+]1(C2=CC=NC=C2)=CC=CC=C1</t>
  </si>
  <si>
    <t>C1=CC=C[NH+]=C1.[Cl-]</t>
  </si>
  <si>
    <t>CN(C)C1=CC=NC=C1 (DMAP)</t>
  </si>
  <si>
    <t>me2N</t>
  </si>
  <si>
    <t>C1=CC=C[NH+]=C1.[Cl-] (2x)</t>
  </si>
  <si>
    <t>OC(C(F)(F)F)=O</t>
  </si>
  <si>
    <t>O=C(OC(C(F)(F)F)=O)C(F)(F)F</t>
  </si>
  <si>
    <t>130 C</t>
  </si>
  <si>
    <t>10 h</t>
  </si>
  <si>
    <t>SO3</t>
  </si>
  <si>
    <t>OTBS</t>
  </si>
  <si>
    <t>CC(OC)=O</t>
  </si>
  <si>
    <t>C=C(O[Si](C)(C)C(C)(C)C)OC</t>
  </si>
  <si>
    <t>nBuLi</t>
  </si>
  <si>
    <t>no infromation</t>
  </si>
  <si>
    <t>minus 78 to RT</t>
  </si>
  <si>
    <t>diisoproylamine, tert-butyl-dimethyl-silyl chloride, N.N'-Dimethylpropyleneurea</t>
  </si>
  <si>
    <t>CC1=CC=C(C)C=C1</t>
  </si>
  <si>
    <t>ClC(C1=CC=C(C(Cl)(Cl)Cl)C=C1)(Cl)Cl</t>
  </si>
  <si>
    <t>ClC1=CC=C(C(Cl)(Cl)Cl)C=C1</t>
  </si>
  <si>
    <t>ClC1=C([N+]([O-])=O)C=C(C(F)(F)F)C=C1</t>
  </si>
  <si>
    <t>HNO3</t>
  </si>
  <si>
    <t>FC(C1=CC([N+]([O-])=O)=C(OC)C=C1)(F)F</t>
  </si>
  <si>
    <t>MeOH, NaOMe</t>
  </si>
  <si>
    <t>NC1=C(OC)C=CC(C(F)(F)F)=C1</t>
  </si>
  <si>
    <t>FC(C1=CC(N=C=S)=C(OC)C=C1)(F)F</t>
  </si>
  <si>
    <t>DCM</t>
  </si>
  <si>
    <t>BH3SME2</t>
  </si>
  <si>
    <t>[H]B1([H])[H]B([H])([H])[H]1</t>
  </si>
  <si>
    <t>[H]B([H])([S](C)C)[H] (2x)</t>
  </si>
  <si>
    <t>CSC (2x)</t>
  </si>
  <si>
    <t xml:space="preserve">Magnesium monoperoxyphthalic acid </t>
  </si>
  <si>
    <t>magnbesium oxide (1x)</t>
  </si>
  <si>
    <t>Magnesium monoperoxyphthalic acid (1x)</t>
  </si>
  <si>
    <t>phthalic anhydride (2x)</t>
  </si>
  <si>
    <t>h2o2 (2x)</t>
  </si>
  <si>
    <t>OLD</t>
  </si>
  <si>
    <t>EDC HCl (OLD)</t>
  </si>
  <si>
    <t>CC[NH3]Cl</t>
  </si>
  <si>
    <t>O=C=NCC</t>
  </si>
  <si>
    <t>Xylol (1:1 eq)</t>
  </si>
  <si>
    <t>Chlorine</t>
  </si>
  <si>
    <t>CNC</t>
  </si>
  <si>
    <t>NCCCN(C)C</t>
  </si>
  <si>
    <t>C=CC([H])=O</t>
  </si>
  <si>
    <t>P.3,P.4</t>
  </si>
  <si>
    <t>CCN=C=NCCCN(C)C</t>
  </si>
  <si>
    <t>EDC HCl (NEW)</t>
  </si>
  <si>
    <t>Mol</t>
  </si>
  <si>
    <t>N#CCCN(C)C</t>
  </si>
  <si>
    <t>N#CC=C</t>
  </si>
  <si>
    <t>Na</t>
  </si>
  <si>
    <t>EtOH</t>
  </si>
  <si>
    <t>PhMe</t>
  </si>
  <si>
    <t>nBuli</t>
  </si>
  <si>
    <t>Butan</t>
  </si>
  <si>
    <t>Chlorbutan</t>
  </si>
  <si>
    <t>Chlor</t>
  </si>
  <si>
    <t>nBulI</t>
  </si>
  <si>
    <t>Li</t>
  </si>
  <si>
    <t>NaH</t>
  </si>
  <si>
    <t>R1Reagencies</t>
  </si>
  <si>
    <t>Phenylchlorocarbonat</t>
  </si>
  <si>
    <t>ClC(Cl)=O</t>
  </si>
  <si>
    <t>ClC(OC1=CC=CC=C1)=O</t>
  </si>
  <si>
    <t>OC1=CC=CC=C1</t>
  </si>
  <si>
    <t>Mole</t>
  </si>
  <si>
    <t>Yield (of all included steps)</t>
  </si>
  <si>
    <t>ClC1=CC([N+]([O-])=O)=CC=C1</t>
  </si>
  <si>
    <t>COC1=CC(N2CCNCC2)=CC=C1</t>
  </si>
  <si>
    <t>NCCN</t>
  </si>
  <si>
    <t>Diethylene Glycol</t>
  </si>
  <si>
    <t>ALCl3</t>
  </si>
  <si>
    <t>COS(OC)(=O)=O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</si>
</sst>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
    <numFmt numFmtId="165" formatCode="0.0%"/>
    <numFmt numFmtId="166" formatCode="0.0000"/>
    <numFmt numFmtId="167" formatCode="0.000"/>
    <numFmt numFmtId="168" formatCode="0.00000"/>
    <numFmt numFmtId="169" formatCode="0.0000000"/>
    <numFmt numFmtId="170" formatCode="0.00\ %"/>
    <numFmt numFmtId="171" formatCode="0.0"/>
    <numFmt numFmtId="172" formatCode="0.00000000"/>
  </numFmts>
  <fonts count="15" x14ac:knownFonts="1">
    <font>
      <sz val="11"/>
      <color theme="1"/>
      <name val="Calibri"/>
      <family val="2"/>
      <charset val="1"/>
    </font>
    <font>
      <b/>
      <sz val="14"/>
      <color theme="1"/>
      <name val="Calibri"/>
      <family val="2"/>
      <charset val="1"/>
    </font>
    <font>
      <b/>
      <sz val="11"/>
      <color theme="1"/>
      <name val="Calibri"/>
      <family val="2"/>
      <charset val="1"/>
    </font>
    <font>
      <i/>
      <sz val="11"/>
      <color theme="1"/>
      <name val="Calibri"/>
      <family val="2"/>
      <charset val="1"/>
    </font>
    <font>
      <b/>
      <sz val="16"/>
      <color theme="1"/>
      <name val="Calibri"/>
      <family val="2"/>
      <charset val="1"/>
    </font>
    <font>
      <sz val="11"/>
      <name val="Calibri"/>
      <family val="2"/>
      <charset val="1"/>
    </font>
    <font>
      <b/>
      <sz val="14"/>
      <name val="Calibri"/>
      <family val="2"/>
      <charset val="1"/>
    </font>
    <font>
      <b/>
      <sz val="11"/>
      <name val="Calibri"/>
      <family val="2"/>
      <charset val="1"/>
    </font>
    <font>
      <sz val="11"/>
      <color theme="0" tint="-0.499984740745262"/>
      <name val="Calibri"/>
      <family val="2"/>
      <charset val="1"/>
    </font>
    <font>
      <b/>
      <sz val="11"/>
      <color theme="0" tint="-0.499984740745262"/>
      <name val="Calibri"/>
      <family val="2"/>
      <charset val="1"/>
    </font>
    <font>
      <sz val="11"/>
      <color theme="1"/>
      <name val="Calibri"/>
      <family val="2"/>
      <charset val="1"/>
    </font>
    <font>
      <sz val="11"/>
      <color rgb="FF000000"/>
      <name val="Calibri"/>
      <family val="2"/>
    </font>
    <font>
      <sz val="11"/>
      <color theme="0"/>
      <name val="Calibri"/>
      <family val="2"/>
      <charset val="1"/>
    </font>
    <font>
      <b/>
      <sz val="11"/>
      <color theme="0"/>
      <name val="Calibri"/>
      <family val="2"/>
      <charset val="1"/>
    </font>
    <font>
      <i/>
      <sz val="11"/>
      <color theme="0"/>
      <name val="Calibri"/>
      <family val="2"/>
      <charset val="1"/>
    </font>
  </fonts>
  <fills count="7">
    <fill>
      <patternFill patternType="none"/>
    </fill>
    <fill>
      <patternFill patternType="gray125"/>
    </fill>
    <fill>
      <patternFill patternType="solid">
        <fgColor rgb="FFFFFF00"/>
        <bgColor rgb="FFFFFF00"/>
      </patternFill>
    </fill>
    <fill>
      <patternFill patternType="solid">
        <fgColor theme="0"/>
        <bgColor rgb="FFFFFFCC"/>
      </patternFill>
    </fill>
    <fill>
      <patternFill patternType="solid">
        <fgColor theme="2" tint="-9.9978637043366805E-2"/>
        <bgColor rgb="FFD9D9D9"/>
      </patternFill>
    </fill>
    <fill>
      <patternFill patternType="solid">
        <fgColor theme="0" tint="-0.14999847407452621"/>
        <bgColor rgb="FFD0CECE"/>
      </patternFill>
    </fill>
    <fill>
      <patternFill patternType="solid">
        <fgColor theme="1" tint="0.3498947111423078"/>
        <bgColor rgb="FF333333"/>
      </patternFill>
    </fill>
  </fills>
  <borders count="23">
    <border>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s>
  <cellStyleXfs count="2">
    <xf numFmtId="0" fontId="0" fillId="0" borderId="0"/>
    <xf numFmtId="164" fontId="10" fillId="0" borderId="0" applyBorder="0" applyProtection="0"/>
  </cellStyleXfs>
  <cellXfs count="219">
    <xf numFmtId="0" fontId="0" fillId="0" borderId="0" xfId="0"/>
    <xf numFmtId="0" fontId="2" fillId="2" borderId="0" xfId="0" applyFont="1" applyFill="1"/>
    <xf numFmtId="0" fontId="0" fillId="0" borderId="0" xfId="0" applyFont="1"/>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4" xfId="0" applyBorder="1"/>
    <xf numFmtId="0" fontId="2" fillId="0" borderId="0" xfId="0" applyFont="1"/>
    <xf numFmtId="0" fontId="3" fillId="0" borderId="0" xfId="0" applyFont="1" applyAlignment="1">
      <alignment horizontal="center" vertical="center"/>
    </xf>
    <xf numFmtId="0" fontId="0" fillId="0" borderId="5" xfId="0" applyBorder="1"/>
    <xf numFmtId="0" fontId="3" fillId="0" borderId="0" xfId="0" applyFont="1" applyBorder="1" applyAlignment="1">
      <alignment horizontal="center" vertical="center"/>
    </xf>
    <xf numFmtId="0" fontId="0" fillId="0" borderId="6" xfId="0" applyFont="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Border="1" applyAlignment="1">
      <alignment horizontal="center" vertical="center"/>
    </xf>
    <xf numFmtId="0" fontId="0" fillId="0" borderId="0" xfId="0"/>
    <xf numFmtId="0" fontId="0" fillId="2" borderId="0" xfId="0" applyFont="1" applyFill="1"/>
    <xf numFmtId="164" fontId="4" fillId="2" borderId="0" xfId="0" applyNumberFormat="1" applyFont="1" applyFill="1"/>
    <xf numFmtId="0" fontId="0" fillId="0" borderId="2" xfId="0" applyFont="1" applyBorder="1"/>
    <xf numFmtId="0" fontId="0" fillId="0" borderId="1" xfId="0" applyBorder="1" applyAlignment="1">
      <alignment horizontal="center" vertical="center"/>
    </xf>
    <xf numFmtId="0" fontId="0" fillId="0" borderId="4" xfId="0" applyBorder="1" applyAlignment="1">
      <alignment horizontal="center" vertical="center"/>
    </xf>
    <xf numFmtId="0" fontId="0" fillId="0" borderId="4"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7" xfId="0" applyFont="1" applyBorder="1"/>
    <xf numFmtId="0" fontId="0" fillId="0" borderId="10" xfId="0" applyBorder="1" applyAlignment="1">
      <alignment horizontal="center" vertical="center"/>
    </xf>
    <xf numFmtId="0" fontId="0" fillId="0" borderId="8" xfId="0" applyBorder="1" applyAlignment="1">
      <alignment horizontal="center" vertical="center"/>
    </xf>
    <xf numFmtId="0" fontId="0" fillId="0" borderId="8" xfId="0" applyFont="1" applyBorder="1" applyAlignment="1">
      <alignment horizontal="center" vertical="center"/>
    </xf>
    <xf numFmtId="0" fontId="0" fillId="0" borderId="9" xfId="0" applyBorder="1" applyAlignment="1">
      <alignment horizontal="center"/>
    </xf>
    <xf numFmtId="0" fontId="0" fillId="0" borderId="1" xfId="0" applyBorder="1" applyAlignment="1">
      <alignment horizontal="center"/>
    </xf>
    <xf numFmtId="0" fontId="2" fillId="0" borderId="1" xfId="0" applyFont="1" applyBorder="1" applyAlignment="1">
      <alignment horizontal="center" vertical="center"/>
    </xf>
    <xf numFmtId="0" fontId="2" fillId="0" borderId="2" xfId="0" applyFont="1" applyBorder="1"/>
    <xf numFmtId="0" fontId="2" fillId="0" borderId="3" xfId="0" applyFont="1" applyBorder="1"/>
    <xf numFmtId="0" fontId="2" fillId="0" borderId="1" xfId="0" applyFont="1" applyBorder="1" applyAlignment="1">
      <alignment horizontal="center"/>
    </xf>
    <xf numFmtId="0" fontId="2" fillId="0" borderId="4" xfId="0" applyFont="1" applyBorder="1"/>
    <xf numFmtId="0" fontId="0" fillId="0" borderId="0" xfId="0" applyBorder="1"/>
    <xf numFmtId="11" fontId="0" fillId="0" borderId="0" xfId="0" applyNumberFormat="1" applyBorder="1"/>
    <xf numFmtId="11" fontId="0" fillId="0" borderId="6" xfId="0" applyNumberFormat="1" applyBorder="1"/>
    <xf numFmtId="11" fontId="0" fillId="0" borderId="9" xfId="0" applyNumberFormat="1" applyBorder="1" applyAlignment="1">
      <alignment horizontal="center"/>
    </xf>
    <xf numFmtId="11" fontId="5" fillId="0" borderId="9" xfId="0" applyNumberFormat="1" applyFont="1" applyBorder="1" applyAlignment="1">
      <alignment horizontal="center"/>
    </xf>
    <xf numFmtId="0" fontId="5" fillId="0" borderId="0" xfId="0" applyFont="1"/>
    <xf numFmtId="0" fontId="0" fillId="0" borderId="6" xfId="0" applyBorder="1"/>
    <xf numFmtId="0" fontId="0" fillId="0" borderId="11" xfId="0" applyBorder="1"/>
    <xf numFmtId="11" fontId="0" fillId="0" borderId="10" xfId="0" applyNumberFormat="1" applyBorder="1" applyAlignment="1">
      <alignment horizontal="center"/>
    </xf>
    <xf numFmtId="11" fontId="0" fillId="0" borderId="11" xfId="0" applyNumberFormat="1" applyBorder="1"/>
    <xf numFmtId="0" fontId="0" fillId="0" borderId="8" xfId="0" applyBorder="1"/>
    <xf numFmtId="0" fontId="0" fillId="3" borderId="0" xfId="0" applyFill="1" applyAlignment="1">
      <alignment horizontal="center"/>
    </xf>
    <xf numFmtId="0" fontId="0" fillId="3" borderId="0" xfId="0" applyFill="1"/>
    <xf numFmtId="0" fontId="0" fillId="4" borderId="2" xfId="0" applyFont="1" applyFill="1" applyBorder="1" applyAlignment="1">
      <alignment horizontal="left"/>
    </xf>
    <xf numFmtId="0" fontId="0" fillId="4" borderId="3" xfId="0" applyFont="1" applyFill="1" applyBorder="1"/>
    <xf numFmtId="0" fontId="0" fillId="4" borderId="4" xfId="0" applyFill="1" applyBorder="1"/>
    <xf numFmtId="0" fontId="2" fillId="0" borderId="12" xfId="0" applyFont="1" applyBorder="1" applyAlignment="1">
      <alignment horizontal="center" vertical="center"/>
    </xf>
    <xf numFmtId="0" fontId="0" fillId="0" borderId="5" xfId="0" applyBorder="1" applyAlignment="1">
      <alignment horizontal="center"/>
    </xf>
    <xf numFmtId="0" fontId="0" fillId="0" borderId="9" xfId="0" applyBorder="1"/>
    <xf numFmtId="0" fontId="2" fillId="0" borderId="13" xfId="0" applyFont="1" applyBorder="1" applyAlignment="1">
      <alignment horizontal="left"/>
    </xf>
    <xf numFmtId="0" fontId="0" fillId="0" borderId="14" xfId="0" applyFont="1" applyBorder="1"/>
    <xf numFmtId="0" fontId="0" fillId="0" borderId="14" xfId="0" applyFont="1" applyBorder="1"/>
    <xf numFmtId="0" fontId="0" fillId="0" borderId="15" xfId="0" applyFont="1" applyBorder="1"/>
    <xf numFmtId="0" fontId="0" fillId="0" borderId="5" xfId="0" applyFont="1" applyBorder="1" applyAlignment="1">
      <alignment horizontal="left"/>
    </xf>
    <xf numFmtId="2" fontId="0" fillId="0" borderId="0" xfId="0" applyNumberFormat="1" applyBorder="1"/>
    <xf numFmtId="166" fontId="0" fillId="0" borderId="0" xfId="0" applyNumberFormat="1" applyBorder="1"/>
    <xf numFmtId="2" fontId="0" fillId="0" borderId="6" xfId="0" applyNumberFormat="1" applyBorder="1"/>
    <xf numFmtId="0" fontId="0" fillId="0" borderId="5" xfId="0" applyFont="1" applyBorder="1" applyAlignment="1">
      <alignment horizontal="left"/>
    </xf>
    <xf numFmtId="0" fontId="0" fillId="0" borderId="0" xfId="0" applyBorder="1"/>
    <xf numFmtId="2" fontId="0" fillId="0" borderId="0" xfId="0" applyNumberFormat="1" applyBorder="1"/>
    <xf numFmtId="167" fontId="0" fillId="0" borderId="0" xfId="0" applyNumberFormat="1" applyBorder="1"/>
    <xf numFmtId="2" fontId="0" fillId="0" borderId="6" xfId="0" applyNumberFormat="1" applyBorder="1"/>
    <xf numFmtId="167" fontId="0" fillId="0" borderId="0" xfId="0" applyNumberFormat="1" applyBorder="1"/>
    <xf numFmtId="0" fontId="2" fillId="0" borderId="5" xfId="0" applyFont="1" applyBorder="1" applyAlignment="1">
      <alignment horizontal="left"/>
    </xf>
    <xf numFmtId="164" fontId="0" fillId="0" borderId="0" xfId="1" applyFont="1" applyBorder="1" applyAlignment="1" applyProtection="1"/>
    <xf numFmtId="0" fontId="0" fillId="0" borderId="6" xfId="0" applyBorder="1"/>
    <xf numFmtId="0" fontId="2" fillId="0" borderId="13" xfId="0" applyFont="1" applyBorder="1" applyAlignment="1">
      <alignment horizontal="left"/>
    </xf>
    <xf numFmtId="0" fontId="0" fillId="0" borderId="15" xfId="0" applyBorder="1"/>
    <xf numFmtId="0" fontId="0" fillId="0" borderId="7" xfId="0" applyBorder="1" applyAlignment="1">
      <alignment horizontal="center" vertical="center"/>
    </xf>
    <xf numFmtId="0" fontId="0" fillId="0" borderId="11" xfId="0" applyBorder="1"/>
    <xf numFmtId="2" fontId="0" fillId="0" borderId="11" xfId="0" applyNumberFormat="1" applyBorder="1"/>
    <xf numFmtId="167" fontId="0" fillId="0" borderId="11" xfId="0" applyNumberFormat="1" applyBorder="1"/>
    <xf numFmtId="2" fontId="2" fillId="0" borderId="11" xfId="0" applyNumberFormat="1" applyFont="1" applyBorder="1"/>
    <xf numFmtId="2" fontId="0" fillId="0" borderId="8" xfId="0" applyNumberFormat="1" applyBorder="1"/>
    <xf numFmtId="0" fontId="0" fillId="0" borderId="10" xfId="0" applyBorder="1"/>
    <xf numFmtId="0" fontId="0" fillId="0" borderId="5" xfId="0" applyBorder="1" applyAlignment="1">
      <alignment horizontal="center"/>
    </xf>
    <xf numFmtId="0" fontId="0" fillId="0" borderId="5" xfId="0" applyBorder="1" applyAlignment="1">
      <alignment horizontal="left" vertical="center"/>
    </xf>
    <xf numFmtId="168" fontId="0" fillId="0" borderId="0" xfId="0" applyNumberFormat="1" applyBorder="1"/>
    <xf numFmtId="2" fontId="0" fillId="0" borderId="14" xfId="0" applyNumberFormat="1" applyBorder="1"/>
    <xf numFmtId="2" fontId="0" fillId="0" borderId="15" xfId="0" applyNumberFormat="1" applyBorder="1"/>
    <xf numFmtId="169" fontId="0" fillId="0" borderId="0" xfId="0" applyNumberFormat="1" applyBorder="1"/>
    <xf numFmtId="0" fontId="0" fillId="0" borderId="5" xfId="0" applyBorder="1"/>
    <xf numFmtId="0" fontId="0" fillId="0" borderId="7" xfId="0" applyBorder="1" applyAlignment="1">
      <alignment horizontal="center"/>
    </xf>
    <xf numFmtId="166" fontId="0" fillId="0" borderId="8" xfId="0" applyNumberFormat="1" applyBorder="1"/>
    <xf numFmtId="2" fontId="0" fillId="0" borderId="0" xfId="0" applyNumberFormat="1"/>
    <xf numFmtId="170" fontId="0" fillId="0" borderId="9" xfId="1" applyNumberFormat="1" applyFont="1" applyBorder="1" applyAlignment="1" applyProtection="1"/>
    <xf numFmtId="171" fontId="0" fillId="0" borderId="0" xfId="0" applyNumberFormat="1" applyBorder="1"/>
    <xf numFmtId="164" fontId="0" fillId="0" borderId="9" xfId="1" applyFont="1" applyBorder="1" applyAlignment="1" applyProtection="1"/>
    <xf numFmtId="0" fontId="0" fillId="0" borderId="2" xfId="0" applyFont="1" applyBorder="1" applyAlignment="1">
      <alignment horizontal="left"/>
    </xf>
    <xf numFmtId="0" fontId="0" fillId="0" borderId="3" xfId="0" applyBorder="1"/>
    <xf numFmtId="2" fontId="0" fillId="0" borderId="3" xfId="0" applyNumberFormat="1" applyBorder="1"/>
    <xf numFmtId="2" fontId="0" fillId="0" borderId="4" xfId="0" applyNumberFormat="1" applyBorder="1"/>
    <xf numFmtId="0" fontId="5" fillId="0" borderId="5" xfId="0" applyFont="1" applyBorder="1" applyAlignment="1">
      <alignment horizontal="left"/>
    </xf>
    <xf numFmtId="2" fontId="5" fillId="0" borderId="0" xfId="0" applyNumberFormat="1" applyFont="1" applyBorder="1"/>
    <xf numFmtId="0" fontId="5" fillId="0" borderId="0" xfId="0" applyFont="1" applyBorder="1"/>
    <xf numFmtId="2" fontId="5" fillId="0" borderId="6" xfId="0" applyNumberFormat="1" applyFont="1" applyBorder="1"/>
    <xf numFmtId="0" fontId="2" fillId="0" borderId="7" xfId="0" applyFont="1" applyBorder="1" applyAlignment="1">
      <alignment horizontal="left"/>
    </xf>
    <xf numFmtId="170" fontId="0" fillId="0" borderId="0" xfId="0" applyNumberFormat="1" applyBorder="1"/>
    <xf numFmtId="164" fontId="0" fillId="0" borderId="0" xfId="0" applyNumberFormat="1" applyBorder="1"/>
    <xf numFmtId="166" fontId="0" fillId="0" borderId="11" xfId="0" applyNumberFormat="1" applyBorder="1"/>
    <xf numFmtId="166" fontId="0" fillId="0" borderId="0" xfId="0" applyNumberFormat="1" applyBorder="1"/>
    <xf numFmtId="166" fontId="0" fillId="0" borderId="14" xfId="0" applyNumberFormat="1" applyFont="1" applyBorder="1"/>
    <xf numFmtId="2" fontId="0" fillId="0" borderId="11" xfId="0" applyNumberFormat="1" applyBorder="1"/>
    <xf numFmtId="0" fontId="0" fillId="0" borderId="3" xfId="0" applyFont="1" applyBorder="1"/>
    <xf numFmtId="0" fontId="2" fillId="0" borderId="4" xfId="0" applyFont="1" applyBorder="1" applyAlignment="1">
      <alignment horizontal="center" vertical="center"/>
    </xf>
    <xf numFmtId="0" fontId="2" fillId="3" borderId="0" xfId="0" applyFont="1" applyFill="1" applyBorder="1" applyAlignment="1">
      <alignment horizontal="center" vertical="center"/>
    </xf>
    <xf numFmtId="0" fontId="0" fillId="3" borderId="0" xfId="0" applyFill="1" applyBorder="1"/>
    <xf numFmtId="0" fontId="2" fillId="0" borderId="5" xfId="0" applyFont="1" applyBorder="1"/>
    <xf numFmtId="0" fontId="0" fillId="0" borderId="5" xfId="0" applyFont="1" applyBorder="1" applyAlignment="1">
      <alignment horizontal="left" vertical="center"/>
    </xf>
    <xf numFmtId="0" fontId="5" fillId="0" borderId="0" xfId="0" applyFont="1" applyBorder="1"/>
    <xf numFmtId="0" fontId="2" fillId="0" borderId="5" xfId="0" applyFont="1" applyBorder="1"/>
    <xf numFmtId="0" fontId="0" fillId="3" borderId="0" xfId="0" applyFill="1" applyBorder="1" applyAlignment="1">
      <alignment horizontal="center" vertical="center"/>
    </xf>
    <xf numFmtId="0" fontId="0" fillId="0" borderId="2" xfId="0" applyFont="1" applyBorder="1"/>
    <xf numFmtId="0" fontId="0" fillId="0" borderId="4" xfId="0" applyBorder="1"/>
    <xf numFmtId="0" fontId="0" fillId="0" borderId="7" xfId="0" applyFont="1" applyBorder="1"/>
    <xf numFmtId="165" fontId="0" fillId="3" borderId="0" xfId="1" applyNumberFormat="1" applyFont="1" applyFill="1" applyBorder="1" applyAlignment="1" applyProtection="1"/>
    <xf numFmtId="0" fontId="2" fillId="5" borderId="0" xfId="0" applyFont="1" applyFill="1"/>
    <xf numFmtId="0" fontId="0" fillId="5" borderId="0" xfId="0" applyFill="1"/>
    <xf numFmtId="0" fontId="0" fillId="0" borderId="2" xfId="0" applyFont="1" applyBorder="1" applyAlignment="1">
      <alignment horizontal="left"/>
    </xf>
    <xf numFmtId="164" fontId="0" fillId="0" borderId="0" xfId="0" applyNumberFormat="1"/>
    <xf numFmtId="0" fontId="2" fillId="0" borderId="5" xfId="0" applyFont="1" applyBorder="1" applyAlignment="1">
      <alignment horizontal="left"/>
    </xf>
    <xf numFmtId="0" fontId="2" fillId="0" borderId="11" xfId="0" applyFont="1" applyBorder="1"/>
    <xf numFmtId="0" fontId="0" fillId="0" borderId="8" xfId="0" applyBorder="1"/>
    <xf numFmtId="0" fontId="5" fillId="0" borderId="0" xfId="0" applyFont="1"/>
    <xf numFmtId="0" fontId="5" fillId="0" borderId="2" xfId="0" applyFont="1" applyBorder="1" applyAlignment="1">
      <alignment horizontal="left"/>
    </xf>
    <xf numFmtId="0" fontId="5" fillId="0" borderId="3" xfId="0" applyFont="1" applyBorder="1"/>
    <xf numFmtId="0" fontId="5" fillId="0" borderId="5" xfId="0" applyFont="1" applyBorder="1" applyAlignment="1">
      <alignment horizontal="center"/>
    </xf>
    <xf numFmtId="0" fontId="7" fillId="0" borderId="5" xfId="0" applyFont="1" applyBorder="1" applyAlignment="1">
      <alignment horizontal="left"/>
    </xf>
    <xf numFmtId="0" fontId="5" fillId="0" borderId="5" xfId="0" applyFont="1" applyBorder="1"/>
    <xf numFmtId="0" fontId="7" fillId="0" borderId="5" xfId="0" applyFont="1" applyBorder="1" applyAlignment="1">
      <alignment horizontal="left"/>
    </xf>
    <xf numFmtId="164" fontId="5" fillId="0" borderId="0" xfId="1" applyFont="1" applyBorder="1" applyAlignment="1" applyProtection="1"/>
    <xf numFmtId="0" fontId="5" fillId="3" borderId="0" xfId="0" applyFont="1" applyFill="1"/>
    <xf numFmtId="0" fontId="5" fillId="0" borderId="7" xfId="0" applyFont="1" applyBorder="1" applyAlignment="1">
      <alignment horizontal="center" vertical="center" wrapText="1"/>
    </xf>
    <xf numFmtId="0" fontId="5" fillId="0" borderId="11" xfId="0" applyFont="1" applyBorder="1"/>
    <xf numFmtId="0" fontId="5" fillId="0" borderId="5" xfId="0" applyFont="1" applyBorder="1" applyAlignment="1">
      <alignment wrapText="1"/>
    </xf>
    <xf numFmtId="0" fontId="5" fillId="0" borderId="7" xfId="0" applyFont="1" applyBorder="1"/>
    <xf numFmtId="0" fontId="5" fillId="0" borderId="5" xfId="0" applyFont="1" applyBorder="1"/>
    <xf numFmtId="172" fontId="0" fillId="0" borderId="6" xfId="0" applyNumberFormat="1" applyBorder="1"/>
    <xf numFmtId="164" fontId="0" fillId="0" borderId="6" xfId="1" applyFont="1" applyBorder="1" applyAlignment="1" applyProtection="1"/>
    <xf numFmtId="0" fontId="2" fillId="0" borderId="0" xfId="0" applyFont="1" applyBorder="1"/>
    <xf numFmtId="164" fontId="2" fillId="0" borderId="0" xfId="1" applyFont="1" applyBorder="1" applyAlignment="1" applyProtection="1"/>
    <xf numFmtId="0" fontId="2" fillId="0" borderId="16" xfId="0" applyFont="1" applyBorder="1"/>
    <xf numFmtId="0" fontId="0" fillId="0" borderId="16" xfId="0" applyFont="1" applyBorder="1"/>
    <xf numFmtId="165" fontId="0" fillId="0" borderId="0" xfId="1" applyNumberFormat="1" applyFont="1" applyBorder="1" applyAlignment="1" applyProtection="1"/>
    <xf numFmtId="0" fontId="2" fillId="0" borderId="6" xfId="0" applyFont="1" applyBorder="1"/>
    <xf numFmtId="0" fontId="2" fillId="0" borderId="0" xfId="0" applyFont="1" applyBorder="1"/>
    <xf numFmtId="164" fontId="0" fillId="0" borderId="0" xfId="0" applyNumberFormat="1" applyBorder="1"/>
    <xf numFmtId="165" fontId="0" fillId="0" borderId="0" xfId="0" applyNumberFormat="1" applyBorder="1"/>
    <xf numFmtId="2" fontId="0" fillId="0" borderId="11" xfId="1" applyNumberFormat="1" applyFont="1" applyBorder="1" applyAlignment="1" applyProtection="1"/>
    <xf numFmtId="0" fontId="2" fillId="0" borderId="0" xfId="0" applyFont="1" applyAlignment="1"/>
    <xf numFmtId="0" fontId="0" fillId="0" borderId="17" xfId="0" applyFont="1" applyBorder="1"/>
    <xf numFmtId="0" fontId="0" fillId="0" borderId="18" xfId="0" applyFont="1" applyBorder="1"/>
    <xf numFmtId="0" fontId="0" fillId="0" borderId="19" xfId="0" applyFont="1" applyBorder="1"/>
    <xf numFmtId="0" fontId="0" fillId="0" borderId="0" xfId="0" applyFont="1" applyBorder="1" applyAlignment="1">
      <alignment wrapText="1"/>
    </xf>
    <xf numFmtId="0" fontId="0" fillId="0" borderId="6" xfId="0" applyBorder="1" applyAlignment="1">
      <alignment horizontal="left" vertical="center"/>
    </xf>
    <xf numFmtId="0" fontId="0" fillId="0" borderId="0" xfId="0" applyFont="1" applyBorder="1" applyAlignment="1">
      <alignment wrapText="1"/>
    </xf>
    <xf numFmtId="0" fontId="0" fillId="0" borderId="11" xfId="0" applyFont="1" applyBorder="1" applyAlignment="1">
      <alignment wrapText="1"/>
    </xf>
    <xf numFmtId="0" fontId="0" fillId="0" borderId="6" xfId="0" applyBorder="1" applyAlignment="1"/>
    <xf numFmtId="0" fontId="0" fillId="0" borderId="8" xfId="0" applyBorder="1" applyAlignment="1"/>
    <xf numFmtId="0" fontId="8" fillId="0" borderId="0" xfId="0" applyFont="1"/>
    <xf numFmtId="0" fontId="9" fillId="0" borderId="0" xfId="0" applyFont="1" applyAlignment="1">
      <alignment horizontal="center" vertical="center"/>
    </xf>
    <xf numFmtId="0" fontId="8" fillId="0" borderId="17" xfId="0" applyFont="1" applyBorder="1"/>
    <xf numFmtId="0" fontId="8" fillId="0" borderId="18" xfId="0" applyFont="1" applyBorder="1"/>
    <xf numFmtId="0" fontId="8" fillId="0" borderId="19" xfId="0" applyFont="1" applyBorder="1"/>
    <xf numFmtId="0" fontId="8" fillId="6" borderId="5" xfId="0" applyFont="1" applyFill="1" applyBorder="1"/>
    <xf numFmtId="0" fontId="8" fillId="6" borderId="0" xfId="0" applyFont="1" applyFill="1" applyBorder="1"/>
    <xf numFmtId="0" fontId="8" fillId="6" borderId="6" xfId="0" applyFont="1" applyFill="1" applyBorder="1"/>
    <xf numFmtId="0" fontId="8" fillId="0" borderId="5" xfId="0" applyFont="1" applyBorder="1"/>
    <xf numFmtId="0" fontId="8" fillId="0" borderId="0" xfId="0" applyFont="1" applyBorder="1"/>
    <xf numFmtId="0" fontId="8" fillId="0" borderId="6" xfId="0" applyFont="1" applyBorder="1"/>
    <xf numFmtId="0" fontId="8" fillId="0" borderId="7" xfId="0" applyFont="1" applyBorder="1"/>
    <xf numFmtId="0" fontId="8" fillId="0" borderId="11" xfId="0" applyFont="1" applyBorder="1"/>
    <xf numFmtId="0" fontId="8" fillId="0" borderId="8" xfId="0" applyFont="1" applyBorder="1"/>
    <xf numFmtId="0" fontId="0" fillId="0" borderId="19" xfId="0" applyFont="1" applyBorder="1"/>
    <xf numFmtId="0" fontId="0" fillId="0" borderId="0" xfId="0" applyBorder="1"/>
    <xf numFmtId="0" fontId="7" fillId="0" borderId="0" xfId="0" applyFont="1" applyAlignment="1">
      <alignment horizontal="center" vertical="center"/>
    </xf>
    <xf numFmtId="0" fontId="8" fillId="0" borderId="2" xfId="0" applyFont="1" applyBorder="1"/>
    <xf numFmtId="0" fontId="8" fillId="0" borderId="3" xfId="0" applyFont="1" applyBorder="1"/>
    <xf numFmtId="0" fontId="8" fillId="0" borderId="4" xfId="0" applyFont="1" applyBorder="1"/>
    <xf numFmtId="0" fontId="8" fillId="0" borderId="13" xfId="0" applyFont="1" applyBorder="1"/>
    <xf numFmtId="0" fontId="8" fillId="0" borderId="14" xfId="0" applyFont="1" applyBorder="1"/>
    <xf numFmtId="0" fontId="8" fillId="0" borderId="15" xfId="0" applyFont="1" applyBorder="1"/>
    <xf numFmtId="0" fontId="8" fillId="0" borderId="20" xfId="0" applyFont="1" applyBorder="1"/>
    <xf numFmtId="0" fontId="8" fillId="0" borderId="21" xfId="0" applyFont="1" applyBorder="1"/>
    <xf numFmtId="0" fontId="8" fillId="0" borderId="22" xfId="0" applyFont="1" applyBorder="1"/>
    <xf numFmtId="0" fontId="8" fillId="0" borderId="5" xfId="0" applyFont="1" applyBorder="1"/>
    <xf numFmtId="0" fontId="8" fillId="0" borderId="0" xfId="0" applyFont="1" applyBorder="1"/>
    <xf numFmtId="0" fontId="0" fillId="0" borderId="13" xfId="0" applyBorder="1"/>
    <xf numFmtId="0" fontId="0" fillId="0" borderId="20" xfId="0" applyFont="1" applyBorder="1"/>
    <xf numFmtId="0" fontId="0" fillId="0" borderId="21" xfId="0" applyFont="1" applyBorder="1"/>
    <xf numFmtId="0" fontId="0" fillId="0" borderId="22" xfId="0" applyBorder="1"/>
    <xf numFmtId="0" fontId="0" fillId="0" borderId="20" xfId="0" applyFont="1" applyBorder="1"/>
    <xf numFmtId="0" fontId="0" fillId="0" borderId="21" xfId="0" applyBorder="1"/>
    <xf numFmtId="2" fontId="0" fillId="0" borderId="14" xfId="0" applyNumberFormat="1" applyBorder="1"/>
    <xf numFmtId="0" fontId="2" fillId="0" borderId="0" xfId="0" applyFont="1" applyAlignment="1">
      <alignment horizontal="center"/>
    </xf>
    <xf numFmtId="0" fontId="2" fillId="0" borderId="0" xfId="0" applyFont="1" applyBorder="1" applyAlignment="1">
      <alignment horizontal="center"/>
    </xf>
    <xf numFmtId="0" fontId="0" fillId="0" borderId="17" xfId="0" applyFont="1" applyBorder="1"/>
    <xf numFmtId="0" fontId="0" fillId="0" borderId="18" xfId="0" applyFont="1" applyBorder="1"/>
    <xf numFmtId="0" fontId="0" fillId="0" borderId="4" xfId="0" applyFont="1" applyBorder="1"/>
    <xf numFmtId="165" fontId="12" fillId="0" borderId="0" xfId="1" applyNumberFormat="1" applyFont="1" applyBorder="1" applyAlignment="1" applyProtection="1"/>
    <xf numFmtId="0" fontId="12" fillId="0" borderId="0" xfId="0" applyFont="1" applyBorder="1"/>
    <xf numFmtId="0" fontId="13" fillId="0" borderId="0" xfId="0" applyFont="1" applyBorder="1" applyAlignment="1">
      <alignment horizontal="center" vertical="center"/>
    </xf>
    <xf numFmtId="0" fontId="14" fillId="0" borderId="0" xfId="0" applyFont="1" applyBorder="1" applyAlignment="1">
      <alignment horizontal="center" vertical="center"/>
    </xf>
    <xf numFmtId="0" fontId="1" fillId="0" borderId="0" xfId="0" applyFont="1" applyBorder="1" applyAlignment="1">
      <alignment horizontal="center"/>
    </xf>
    <xf numFmtId="0" fontId="12" fillId="0" borderId="0" xfId="0" applyFont="1" applyBorder="1" applyAlignment="1">
      <alignment horizontal="center"/>
    </xf>
    <xf numFmtId="0" fontId="0" fillId="3" borderId="3" xfId="0" applyFill="1" applyBorder="1" applyAlignment="1">
      <alignment horizontal="center" vertical="center"/>
    </xf>
    <xf numFmtId="0" fontId="1" fillId="0" borderId="12" xfId="0" applyFont="1" applyBorder="1" applyAlignment="1">
      <alignment horizontal="center"/>
    </xf>
    <xf numFmtId="0" fontId="6" fillId="0" borderId="0" xfId="0"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12" xfId="0" applyFont="1" applyBorder="1" applyAlignment="1">
      <alignment horizontal="center" vertical="center"/>
    </xf>
    <xf numFmtId="0" fontId="2" fillId="0" borderId="0" xfId="0" applyFont="1" applyBorder="1" applyAlignment="1">
      <alignment horizontal="center"/>
    </xf>
    <xf numFmtId="0" fontId="0" fillId="0" borderId="9" xfId="0" applyFont="1" applyBorder="1" applyAlignment="1">
      <alignment horizontal="center" vertical="center"/>
    </xf>
    <xf numFmtId="0" fontId="0" fillId="0" borderId="10" xfId="0"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1</xdr:col>
      <xdr:colOff>691617</xdr:colOff>
      <xdr:row>14</xdr:row>
      <xdr:rowOff>17617</xdr:rowOff>
    </xdr:from>
    <xdr:to>
      <xdr:col>2</xdr:col>
      <xdr:colOff>1262224</xdr:colOff>
      <xdr:row>32</xdr:row>
      <xdr:rowOff>38698</xdr:rowOff>
    </xdr:to>
    <xdr:sp macro="" textlink="">
      <xdr:nvSpPr>
        <xdr:cNvPr id="2" name="Rectangle: Folded Corner 8">
          <a:extLst>
            <a:ext uri="{FF2B5EF4-FFF2-40B4-BE49-F238E27FC236}">
              <a16:creationId xmlns:a16="http://schemas.microsoft.com/office/drawing/2014/main" id="{00000000-0008-0000-0000-000002000000}"/>
            </a:ext>
          </a:extLst>
        </xdr:cNvPr>
        <xdr:cNvSpPr/>
      </xdr:nvSpPr>
      <xdr:spPr>
        <a:xfrm>
          <a:off x="6966911" y="2677146"/>
          <a:ext cx="4089254" cy="3457552"/>
        </a:xfrm>
        <a:prstGeom prst="foldedCorner">
          <a:avLst>
            <a:gd name="adj" fmla="val 927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100" b="0" strike="noStrike" spc="-1">
              <a:solidFill>
                <a:schemeClr val="lt1"/>
              </a:solidFill>
              <a:latin typeface="Calibri"/>
            </a:rPr>
            <a:t>All methods which are computed for the data points in ecoinvent. Selection of one method by using copy and paste to cell A33.</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0" strike="noStrike" spc="-1">
              <a:solidFill>
                <a:schemeClr val="lt1"/>
              </a:solidFill>
              <a:latin typeface="Calibri"/>
            </a:rPr>
            <a:t>Cell A33 selectes the method which is chosen by the Sheets. Macro runs through all metods in A4:A29 and pasting all methods one by one into A33</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0" strike="noStrike" spc="-1">
              <a:solidFill>
                <a:schemeClr val="lt1"/>
              </a:solidFill>
              <a:latin typeface="Calibri"/>
            </a:rPr>
            <a:t>Recovery rate [%] can be changed by the user as well. Please check that the values are given in %.</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0" strike="noStrike" spc="-1">
              <a:solidFill>
                <a:schemeClr val="lt1"/>
              </a:solidFill>
              <a:latin typeface="Calibri"/>
            </a:rPr>
            <a:t>Click "Click to calculate the LCI's for all methods" button to run the calculation for all impact categories</a:t>
          </a:r>
          <a:endParaRPr lang="de-DE" sz="1100" b="0" strike="noStrike" spc="-1">
            <a:latin typeface="Calibri"/>
          </a:endParaRPr>
        </a:p>
        <a:p>
          <a:pPr>
            <a:lnSpc>
              <a:spcPct val="100000"/>
            </a:lnSpc>
          </a:pP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0" strike="noStrike" spc="-1">
              <a:solidFill>
                <a:schemeClr val="lt1"/>
              </a:solidFill>
              <a:latin typeface="Calibri"/>
            </a:rPr>
            <a:t>All rights reserved</a:t>
          </a:r>
          <a:endParaRPr lang="de-DE" sz="1100" b="0" strike="noStrike" spc="-1">
            <a:latin typeface="Calibri"/>
          </a:endParaRPr>
        </a:p>
        <a:p>
          <a:pPr>
            <a:lnSpc>
              <a:spcPct val="100000"/>
            </a:lnSpc>
          </a:pPr>
          <a:endParaRPr lang="de-DE" sz="1100" b="0" strike="noStrike" spc="-1">
            <a:latin typeface="Calibri"/>
          </a:endParaRPr>
        </a:p>
      </xdr:txBody>
    </xdr:sp>
    <xdr:clientData/>
  </xdr:twoCellAnchor>
  <mc:AlternateContent xmlns:mc="http://schemas.openxmlformats.org/markup-compatibility/2006">
    <mc:Choice xmlns:a14="http://schemas.microsoft.com/office/drawing/2010/main" Requires="a14">
      <xdr:twoCellAnchor>
        <xdr:from>
          <xdr:col>6</xdr:col>
          <xdr:colOff>2035629</xdr:colOff>
          <xdr:row>0</xdr:row>
          <xdr:rowOff>65314</xdr:rowOff>
        </xdr:from>
        <xdr:to>
          <xdr:col>6</xdr:col>
          <xdr:colOff>5600700</xdr:colOff>
          <xdr:row>4</xdr:row>
          <xdr:rowOff>92529</xdr:rowOff>
        </xdr:to>
        <xdr:sp macro="" textlink="">
          <xdr:nvSpPr>
            <xdr:cNvPr id="1025" name="Button 3"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91440" tIns="45720" rIns="91440" bIns="45720" anchor="ctr" upright="1"/>
            <a:lstStyle/>
            <a:p>
              <a:pPr algn="ctr" rtl="0">
                <a:defRPr sz="1000"/>
              </a:pPr>
              <a:r>
                <a:rPr lang="en-US" sz="1100" b="0" i="0" u="none" strike="noStrike" baseline="0">
                  <a:solidFill>
                    <a:srgbClr val="000000"/>
                  </a:solidFill>
                  <a:latin typeface="Calibri"/>
                  <a:ea typeface="Calibri"/>
                  <a:cs typeface="Calibri"/>
                </a:rPr>
                <a:t>Click to calculate the LCI's for all methods</a:t>
              </a:r>
            </a:p>
          </xdr:txBody>
        </xdr:sp>
        <xdr:clientData/>
      </xdr:twoCellAnchor>
    </mc:Choice>
    <mc:Fallback/>
  </mc:AlternateContent>
  <xdr:twoCellAnchor>
    <xdr:from>
      <xdr:col>0</xdr:col>
      <xdr:colOff>1699240</xdr:colOff>
      <xdr:row>2</xdr:row>
      <xdr:rowOff>89388</xdr:rowOff>
    </xdr:from>
    <xdr:to>
      <xdr:col>0</xdr:col>
      <xdr:colOff>6267824</xdr:colOff>
      <xdr:row>13</xdr:row>
      <xdr:rowOff>97118</xdr:rowOff>
    </xdr:to>
    <xdr:sp macro="" textlink="">
      <xdr:nvSpPr>
        <xdr:cNvPr id="4" name="Rectangle: Folded Corner 8">
          <a:extLst>
            <a:ext uri="{FF2B5EF4-FFF2-40B4-BE49-F238E27FC236}">
              <a16:creationId xmlns:a16="http://schemas.microsoft.com/office/drawing/2014/main" id="{C66A0DF8-A2C3-4208-857E-A7E55F7BDD6A}"/>
            </a:ext>
          </a:extLst>
        </xdr:cNvPr>
        <xdr:cNvSpPr/>
      </xdr:nvSpPr>
      <xdr:spPr>
        <a:xfrm>
          <a:off x="1699240" y="507741"/>
          <a:ext cx="4568584" cy="2062142"/>
        </a:xfrm>
        <a:prstGeom prst="foldedCorner">
          <a:avLst>
            <a:gd name="adj" fmla="val 927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de-CH" sz="1600" b="0" strike="noStrike" spc="-1">
              <a:solidFill>
                <a:schemeClr val="lt1"/>
              </a:solidFill>
              <a:latin typeface="Calibri"/>
            </a:rPr>
            <a:t>DISCLAIMER:</a:t>
          </a:r>
        </a:p>
        <a:p>
          <a:pPr>
            <a:lnSpc>
              <a:spcPct val="100000"/>
            </a:lnSpc>
          </a:pPr>
          <a:endParaRPr lang="de-CH" sz="1600" b="0" strike="noStrike" spc="-1">
            <a:solidFill>
              <a:schemeClr val="lt1"/>
            </a:solidFill>
            <a:latin typeface="Calibri"/>
          </a:endParaRPr>
        </a:p>
        <a:p>
          <a:pPr>
            <a:lnSpc>
              <a:spcPct val="100000"/>
            </a:lnSpc>
          </a:pPr>
          <a:r>
            <a:rPr lang="de-CH" sz="1600" b="0" strike="noStrike" spc="-1">
              <a:solidFill>
                <a:schemeClr val="lt1"/>
              </a:solidFill>
              <a:latin typeface="Calibri"/>
            </a:rPr>
            <a:t>Since .xlsm</a:t>
          </a:r>
          <a:r>
            <a:rPr lang="de-CH" sz="1600" b="0" strike="noStrike" spc="-1" baseline="0">
              <a:solidFill>
                <a:schemeClr val="lt1"/>
              </a:solidFill>
              <a:latin typeface="Calibri"/>
            </a:rPr>
            <a:t> files (macro enabled excel files) are not permitted by JACS, the Macro cannot be run in this excel file.</a:t>
          </a:r>
        </a:p>
        <a:p>
          <a:pPr>
            <a:lnSpc>
              <a:spcPct val="100000"/>
            </a:lnSpc>
          </a:pPr>
          <a:r>
            <a:rPr lang="de-CH" sz="1600" b="0" strike="noStrike" spc="-1" baseline="0">
              <a:solidFill>
                <a:schemeClr val="lt1"/>
              </a:solidFill>
              <a:latin typeface="Calibri"/>
            </a:rPr>
            <a:t>Please refer to the excel file, provided via the Zenodo link to download the macro enabled excel file.</a:t>
          </a:r>
          <a:endParaRPr lang="de-DE" sz="1600" b="0" strike="noStrike" spc="-1">
            <a:latin typeface="Calibri"/>
          </a:endParaRPr>
        </a:p>
        <a:p>
          <a:pPr>
            <a:lnSpc>
              <a:spcPct val="100000"/>
            </a:lnSpc>
          </a:pPr>
          <a:endParaRPr lang="de-DE" sz="1100" b="0" strike="noStrike" spc="-1">
            <a:latin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115560</xdr:colOff>
      <xdr:row>1</xdr:row>
      <xdr:rowOff>82800</xdr:rowOff>
    </xdr:from>
    <xdr:to>
      <xdr:col>4</xdr:col>
      <xdr:colOff>3274200</xdr:colOff>
      <xdr:row>18</xdr:row>
      <xdr:rowOff>159840</xdr:rowOff>
    </xdr:to>
    <xdr:sp macro="" textlink="">
      <xdr:nvSpPr>
        <xdr:cNvPr id="2" name="Rectangle: Folded Corner 1">
          <a:extLst>
            <a:ext uri="{FF2B5EF4-FFF2-40B4-BE49-F238E27FC236}">
              <a16:creationId xmlns:a16="http://schemas.microsoft.com/office/drawing/2014/main" id="{00000000-0008-0000-0100-000002000000}"/>
            </a:ext>
          </a:extLst>
        </xdr:cNvPr>
        <xdr:cNvSpPr/>
      </xdr:nvSpPr>
      <xdr:spPr>
        <a:xfrm>
          <a:off x="1487160" y="282960"/>
          <a:ext cx="6579360" cy="3477240"/>
        </a:xfrm>
        <a:prstGeom prst="foldedCorner">
          <a:avLst>
            <a:gd name="adj" fmla="val 927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100" b="1" strike="noStrike" spc="-1">
              <a:solidFill>
                <a:schemeClr val="lt1"/>
              </a:solidFill>
              <a:latin typeface="Calibri"/>
            </a:rPr>
            <a:t>How to fill data:</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0" strike="noStrike" spc="-1">
              <a:solidFill>
                <a:schemeClr val="lt1"/>
              </a:solidFill>
              <a:latin typeface="Calibri"/>
            </a:rPr>
            <a:t>-Compilation of all datapoints in python to retrieve data. </a:t>
          </a:r>
          <a:endParaRPr lang="de-DE" sz="1100" b="0" strike="noStrike" spc="-1">
            <a:latin typeface="Calibri"/>
          </a:endParaRPr>
        </a:p>
        <a:p>
          <a:pPr>
            <a:lnSpc>
              <a:spcPct val="100000"/>
            </a:lnSpc>
          </a:pPr>
          <a:r>
            <a:rPr lang="en-US" sz="1100" b="0" strike="noStrike" spc="-1">
              <a:solidFill>
                <a:schemeClr val="lt1"/>
              </a:solidFill>
              <a:latin typeface="Calibri"/>
            </a:rPr>
            <a:t>-Copy and paste here column I:AH</a:t>
          </a:r>
          <a:endParaRPr lang="de-DE" sz="1100" b="0" strike="noStrike" spc="-1">
            <a:latin typeface="Calibri"/>
          </a:endParaRPr>
        </a:p>
        <a:p>
          <a:pPr>
            <a:lnSpc>
              <a:spcPct val="100000"/>
            </a:lnSpc>
          </a:pPr>
          <a:r>
            <a:rPr lang="en-US" sz="1100" b="0" strike="noStrike" spc="-1">
              <a:solidFill>
                <a:schemeClr val="lt1"/>
              </a:solidFill>
              <a:latin typeface="Calibri"/>
            </a:rPr>
            <a:t>-Coloumn H will automatically select the value in the right row according to the selected methode in the Macro Sheet</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1" strike="noStrike" spc="-1">
              <a:solidFill>
                <a:schemeClr val="lt1"/>
              </a:solidFill>
              <a:latin typeface="Calibri"/>
            </a:rPr>
            <a:t>General Remarks:</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1" strike="noStrike" spc="-1">
              <a:solidFill>
                <a:schemeClr val="lt1"/>
              </a:solidFill>
              <a:latin typeface="Calibri"/>
            </a:rPr>
            <a:t>Organocat</a:t>
          </a:r>
          <a:r>
            <a:rPr lang="en-US" sz="1100" b="0" strike="noStrike" spc="-1">
              <a:solidFill>
                <a:schemeClr val="lt1"/>
              </a:solidFill>
              <a:latin typeface="Calibri"/>
            </a:rPr>
            <a:t> is given for simplicity</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1" strike="noStrike" spc="-1">
              <a:solidFill>
                <a:schemeClr val="lt1"/>
              </a:solidFill>
              <a:latin typeface="Calibri"/>
            </a:rPr>
            <a:t>Location</a:t>
          </a:r>
          <a:r>
            <a:rPr lang="en-US" sz="1100" b="0" strike="noStrike" spc="-1">
              <a:solidFill>
                <a:schemeClr val="lt1"/>
              </a:solidFill>
              <a:latin typeface="Calibri"/>
            </a:rPr>
            <a:t>: RER, ROW, GLO selected based on availability of data. (RER preffered)</a:t>
          </a: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1" strike="noStrike" spc="-1">
              <a:solidFill>
                <a:schemeClr val="lt1"/>
              </a:solidFill>
              <a:latin typeface="Calibri"/>
            </a:rPr>
            <a:t>Activities</a:t>
          </a:r>
          <a:r>
            <a:rPr lang="en-US" sz="1100" b="0" strike="noStrike" spc="-1">
              <a:solidFill>
                <a:schemeClr val="lt1"/>
              </a:solidFill>
              <a:latin typeface="Calibri"/>
            </a:rPr>
            <a:t>: Market activities preffered, otherwise production activities were selected</a:t>
          </a:r>
          <a:endParaRPr lang="de-DE" sz="1100" b="0" strike="noStrike" spc="-1">
            <a:latin typeface="Calibri"/>
          </a:endParaRPr>
        </a:p>
        <a:p>
          <a:pPr>
            <a:lnSpc>
              <a:spcPct val="100000"/>
            </a:lnSpc>
          </a:pPr>
          <a:endParaRPr lang="de-DE" sz="1100" b="0" strike="noStrike" spc="-1">
            <a:latin typeface="Calibri"/>
          </a:endParaRPr>
        </a:p>
        <a:p>
          <a:pPr>
            <a:lnSpc>
              <a:spcPct val="100000"/>
            </a:lnSpc>
          </a:pPr>
          <a:endParaRPr lang="de-DE" sz="1100" b="0" strike="noStrike" spc="-1">
            <a:latin typeface="Calibri"/>
          </a:endParaRPr>
        </a:p>
        <a:p>
          <a:pPr>
            <a:lnSpc>
              <a:spcPct val="100000"/>
            </a:lnSpc>
          </a:pPr>
          <a:endParaRPr lang="de-DE" sz="1100" b="0" strike="noStrike" spc="-1">
            <a:latin typeface="Calibri"/>
          </a:endParaRPr>
        </a:p>
        <a:p>
          <a:pPr>
            <a:lnSpc>
              <a:spcPct val="100000"/>
            </a:lnSpc>
          </a:pPr>
          <a:r>
            <a:rPr lang="en-US" sz="1100" b="0" strike="noStrike" spc="-1">
              <a:solidFill>
                <a:schemeClr val="lt1"/>
              </a:solidFill>
              <a:latin typeface="Calibri"/>
            </a:rPr>
            <a:t>All rights reserved</a:t>
          </a:r>
          <a:endParaRPr lang="de-DE" sz="1100" b="0" strike="noStrike" spc="-1">
            <a:latin typeface="Calibri"/>
          </a:endParaRPr>
        </a:p>
        <a:p>
          <a:pPr>
            <a:lnSpc>
              <a:spcPct val="100000"/>
            </a:lnSpc>
          </a:pPr>
          <a:endParaRPr lang="de-DE" sz="1100" b="0" strike="noStrike" spc="-1">
            <a:latin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472680</xdr:colOff>
      <xdr:row>1</xdr:row>
      <xdr:rowOff>162720</xdr:rowOff>
    </xdr:from>
    <xdr:to>
      <xdr:col>15</xdr:col>
      <xdr:colOff>298800</xdr:colOff>
      <xdr:row>20</xdr:row>
      <xdr:rowOff>17280</xdr:rowOff>
    </xdr:to>
    <xdr:sp macro="" textlink="">
      <xdr:nvSpPr>
        <xdr:cNvPr id="2" name="Rectangle: Folded Corner 5">
          <a:extLst>
            <a:ext uri="{FF2B5EF4-FFF2-40B4-BE49-F238E27FC236}">
              <a16:creationId xmlns:a16="http://schemas.microsoft.com/office/drawing/2014/main" id="{00000000-0008-0000-0200-000002000000}"/>
            </a:ext>
          </a:extLst>
        </xdr:cNvPr>
        <xdr:cNvSpPr/>
      </xdr:nvSpPr>
      <xdr:spPr>
        <a:xfrm>
          <a:off x="12544560" y="383040"/>
          <a:ext cx="3400560" cy="3293280"/>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Main file to compute the impacts generated in the synthesis for letermovir based on the route provided by this work.</a:t>
          </a:r>
          <a:endParaRPr lang="de-DE" sz="1200" b="0" strike="noStrike" spc="-1">
            <a:latin typeface="Calibri"/>
          </a:endParaRPr>
        </a:p>
        <a:p>
          <a:pPr>
            <a:lnSpc>
              <a:spcPct val="100000"/>
            </a:lnSpc>
          </a:pPr>
          <a:r>
            <a:rPr lang="en-US" sz="1200" b="0" strike="noStrike" spc="-1">
              <a:solidFill>
                <a:schemeClr val="lt1"/>
              </a:solidFill>
              <a:latin typeface="Calibri"/>
            </a:rPr>
            <a:t>Assumptions apply.</a:t>
          </a:r>
          <a:endParaRPr lang="de-DE" sz="1200" b="0" strike="noStrike" spc="-1">
            <a:latin typeface="Calibri"/>
          </a:endParaRPr>
        </a:p>
        <a:p>
          <a:pPr>
            <a:lnSpc>
              <a:spcPct val="100000"/>
            </a:lnSpc>
          </a:pPr>
          <a:r>
            <a:rPr lang="en-US" sz="1200" b="0" strike="noStrike" spc="-1">
              <a:solidFill>
                <a:schemeClr val="lt1"/>
              </a:solidFill>
              <a:latin typeface="Calibri"/>
            </a:rPr>
            <a:t>All impact values have been calculated with mass expressed in kilograms (kg). A functional unit (FU) of 1 kg of final product was selected to standardize the results, meaning all calculations and comparisons are normalized to the production of exactly 1 kg of letermovir.</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290160</xdr:colOff>
      <xdr:row>0</xdr:row>
      <xdr:rowOff>102240</xdr:rowOff>
    </xdr:from>
    <xdr:to>
      <xdr:col>18</xdr:col>
      <xdr:colOff>418320</xdr:colOff>
      <xdr:row>20</xdr:row>
      <xdr:rowOff>102240</xdr:rowOff>
    </xdr:to>
    <xdr:sp macro="" textlink="">
      <xdr:nvSpPr>
        <xdr:cNvPr id="3" name="Rectangle: Folded Corner 4">
          <a:extLst>
            <a:ext uri="{FF2B5EF4-FFF2-40B4-BE49-F238E27FC236}">
              <a16:creationId xmlns:a16="http://schemas.microsoft.com/office/drawing/2014/main" id="{00000000-0008-0000-0300-000003000000}"/>
            </a:ext>
          </a:extLst>
        </xdr:cNvPr>
        <xdr:cNvSpPr/>
      </xdr:nvSpPr>
      <xdr:spPr>
        <a:xfrm>
          <a:off x="12980160" y="102240"/>
          <a:ext cx="4471920" cy="3809880"/>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Main file to compute the impacts generated in the synthesis for letermovir based on the route provided by the selected publication. (Org. Process Res. Dev. 2016, 20, 6, 1097–1103)</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Assumptions apply.</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On the left, data from the publication in various units. This information was used in order to find out the relation of masses of reactants, reagents and the (sub)products.</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impact values have been calculated with mass expressed in kilograms (kg). A functional unit (FU) of 1 kg of final product was selected to standardize the results, meaning all calculations and comparisons are normalized to the production of exactly 1 kg of letermovir.</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Values from publiaction, where harmonized into the unit of kg using, density. Yield was applied to identify the amount of product genrated. </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21240</xdr:colOff>
      <xdr:row>1</xdr:row>
      <xdr:rowOff>95400</xdr:rowOff>
    </xdr:from>
    <xdr:to>
      <xdr:col>15</xdr:col>
      <xdr:colOff>626400</xdr:colOff>
      <xdr:row>23</xdr:row>
      <xdr:rowOff>9720</xdr:rowOff>
    </xdr:to>
    <xdr:sp macro="" textlink="">
      <xdr:nvSpPr>
        <xdr:cNvPr id="4" name="Rectangle: Folded Corner 1">
          <a:extLst>
            <a:ext uri="{FF2B5EF4-FFF2-40B4-BE49-F238E27FC236}">
              <a16:creationId xmlns:a16="http://schemas.microsoft.com/office/drawing/2014/main" id="{00000000-0008-0000-0400-000004000000}"/>
            </a:ext>
          </a:extLst>
        </xdr:cNvPr>
        <xdr:cNvSpPr/>
      </xdr:nvSpPr>
      <xdr:spPr>
        <a:xfrm>
          <a:off x="5597280" y="276480"/>
          <a:ext cx="7085160" cy="3895560"/>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Precursors/catalysts used for both syntheses are provided in SMILES notation.</a:t>
          </a:r>
          <a:endParaRPr lang="de-DE" sz="1200" b="0" strike="noStrike" spc="-1">
            <a:latin typeface="Calibri"/>
          </a:endParaRPr>
        </a:p>
        <a:p>
          <a:pPr>
            <a:lnSpc>
              <a:spcPct val="100000"/>
            </a:lnSpc>
          </a:pPr>
          <a:br/>
          <a:r>
            <a:rPr lang="en-US" sz="1200" b="0" strike="noStrike" spc="-1">
              <a:solidFill>
                <a:schemeClr val="lt1"/>
              </a:solidFill>
              <a:latin typeface="Calibri"/>
            </a:rPr>
            <a:t>Molecular weights were determined using ChemDraw Suite version 23.1.2.</a:t>
          </a:r>
          <a:endParaRPr lang="de-DE" sz="1200" b="0" strike="noStrike" spc="-1">
            <a:latin typeface="Calibri"/>
          </a:endParaRPr>
        </a:p>
        <a:p>
          <a:pPr>
            <a:lnSpc>
              <a:spcPct val="100000"/>
            </a:lnSpc>
          </a:pPr>
          <a:r>
            <a:rPr lang="en-US" sz="1200" b="0" strike="noStrike" spc="-1">
              <a:solidFill>
                <a:schemeClr val="lt1"/>
              </a:solidFill>
              <a:latin typeface="Calibri"/>
            </a:rPr>
            <a:t>Wherever possible, complete and specific data was included in the calculations. If such information was unavailable, appropriate and transparent assumptions were applied. In cases where the estimation of certain precursors, reactants, or solvents was impractical—such as in recursive synthesis loops—simplifying assumptions were adopted. For example, if no data was available for catalysts, or if the mass and production process of a precursor to a precursor could not be reliably determined, these contributions were excluded from the analysis.</a:t>
          </a:r>
          <a:endParaRPr lang="de-DE" sz="1200" b="0" strike="noStrike" spc="-1">
            <a:latin typeface="Calibri"/>
          </a:endParaRPr>
        </a:p>
        <a:p>
          <a:pPr>
            <a:lnSpc>
              <a:spcPct val="100000"/>
            </a:lnSpc>
          </a:pPr>
          <a:r>
            <a:rPr lang="en-US" sz="1200" b="0" strike="noStrike" spc="-1">
              <a:solidFill>
                <a:schemeClr val="lt1"/>
              </a:solidFill>
              <a:latin typeface="Calibri"/>
            </a:rPr>
            <a:t>For solvent usage, a 1:1 solvent-to-substrate ratio was assumed when applicable, or a concentration of 1 mol/L was applied.</a:t>
          </a:r>
          <a:endParaRPr lang="de-DE" sz="1200" b="0" strike="noStrike" spc="-1">
            <a:latin typeface="Calibri"/>
          </a:endParaRPr>
        </a:p>
        <a:p>
          <a:pPr>
            <a:lnSpc>
              <a:spcPct val="100000"/>
            </a:lnSpc>
          </a:pPr>
          <a:r>
            <a:rPr lang="en-US" sz="1200" b="0" strike="noStrike" spc="-1">
              <a:solidFill>
                <a:schemeClr val="lt1"/>
              </a:solidFill>
              <a:latin typeface="Calibri"/>
            </a:rPr>
            <a:t>Reagents and solvents for all precursors were traced back to their point of origin wherever feasible. Localized assumptions were introduced for a small subset of calculations where tracing to origin was not possible.</a:t>
          </a:r>
          <a:endParaRPr lang="de-DE" sz="1200" b="0" strike="noStrike" spc="-1">
            <a:latin typeface="Calibri"/>
          </a:endParaRPr>
        </a:p>
        <a:p>
          <a:pPr>
            <a:lnSpc>
              <a:spcPct val="100000"/>
            </a:lnSpc>
          </a:pPr>
          <a:r>
            <a:rPr lang="en-US" sz="1200" b="0" strike="noStrike" spc="-1">
              <a:solidFill>
                <a:schemeClr val="lt1"/>
              </a:solidFill>
              <a:latin typeface="Calibri"/>
            </a:rPr>
            <a:t>Reaction stoichiometry was based on theoretical reaction equations unless more specific experimental details were available.</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Energy inputs, including heating, cooling, and stirring, were not considered in this assessment.</a:t>
          </a:r>
          <a:endParaRPr lang="de-DE" sz="1200" b="0" strike="noStrike" spc="-1">
            <a:latin typeface="Calibri"/>
          </a:endParaRPr>
        </a:p>
        <a:p>
          <a:pPr>
            <a:lnSpc>
              <a:spcPct val="100000"/>
            </a:lnSpc>
          </a:pPr>
          <a:r>
            <a:rPr lang="en-US" sz="1200" b="0" strike="noStrike" spc="-1">
              <a:solidFill>
                <a:schemeClr val="lt1"/>
              </a:solidFill>
              <a:latin typeface="Calibri"/>
            </a:rPr>
            <a:t>No further material losses were considered except for those attributable to reaction yield.</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410353</xdr:colOff>
      <xdr:row>0</xdr:row>
      <xdr:rowOff>0</xdr:rowOff>
    </xdr:from>
    <xdr:to>
      <xdr:col>14</xdr:col>
      <xdr:colOff>557939</xdr:colOff>
      <xdr:row>21</xdr:row>
      <xdr:rowOff>73440</xdr:rowOff>
    </xdr:to>
    <xdr:sp macro="" textlink="">
      <xdr:nvSpPr>
        <xdr:cNvPr id="5" name="Rectangle: Folded Corner 1">
          <a:extLst>
            <a:ext uri="{FF2B5EF4-FFF2-40B4-BE49-F238E27FC236}">
              <a16:creationId xmlns:a16="http://schemas.microsoft.com/office/drawing/2014/main" id="{00000000-0008-0000-0500-000005000000}"/>
            </a:ext>
          </a:extLst>
        </xdr:cNvPr>
        <xdr:cNvSpPr/>
      </xdr:nvSpPr>
      <xdr:spPr>
        <a:xfrm>
          <a:off x="11808337" y="0"/>
          <a:ext cx="6493316" cy="3973087"/>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Precursors/catalysts used for both syntheses are provided in SMILES notation.</a:t>
          </a:r>
          <a:endParaRPr lang="de-DE" sz="1200" b="0" strike="noStrike" spc="-1">
            <a:latin typeface="Calibri"/>
          </a:endParaRPr>
        </a:p>
        <a:p>
          <a:pPr>
            <a:lnSpc>
              <a:spcPct val="100000"/>
            </a:lnSpc>
          </a:pPr>
          <a:br/>
          <a:r>
            <a:rPr lang="en-US" sz="1200" b="0" strike="noStrike" spc="-1">
              <a:solidFill>
                <a:schemeClr val="lt1"/>
              </a:solidFill>
              <a:latin typeface="Calibri"/>
            </a:rPr>
            <a:t>Molecular weights were determined using ChemDraw Suite version 23.1.2.</a:t>
          </a:r>
          <a:endParaRPr lang="de-DE" sz="1200" b="0" strike="noStrike" spc="-1">
            <a:latin typeface="Calibri"/>
          </a:endParaRPr>
        </a:p>
        <a:p>
          <a:pPr>
            <a:lnSpc>
              <a:spcPct val="100000"/>
            </a:lnSpc>
          </a:pPr>
          <a:r>
            <a:rPr lang="en-US" sz="1200" b="0" strike="noStrike" spc="-1">
              <a:solidFill>
                <a:schemeClr val="lt1"/>
              </a:solidFill>
              <a:latin typeface="Calibri"/>
            </a:rPr>
            <a:t>Wherever possible, complete and specific data was included in the calculations. If such information was unavailable, appropriate and transparent assumptions were applied. In cases where the estimation of certain precursors, reactants, or solvents was impractical—such as in recursive synthesis loops—simplifying assumptions were adopted. For example, if no data was available for catalysts, or if the mass and production process of a precursor to a precursor could not be reliably determined, these contributions were excluded from the analysis.</a:t>
          </a:r>
          <a:endParaRPr lang="de-DE" sz="1200" b="0" strike="noStrike" spc="-1">
            <a:latin typeface="Calibri"/>
          </a:endParaRPr>
        </a:p>
        <a:p>
          <a:pPr>
            <a:lnSpc>
              <a:spcPct val="100000"/>
            </a:lnSpc>
          </a:pPr>
          <a:r>
            <a:rPr lang="en-US" sz="1200" b="0" strike="noStrike" spc="-1">
              <a:solidFill>
                <a:schemeClr val="lt1"/>
              </a:solidFill>
              <a:latin typeface="Calibri"/>
            </a:rPr>
            <a:t>For solvent usage, a 1:1 solvent-to-substrate ratio was assumed when applicable, or a concentration of 1 mol/L was applied.</a:t>
          </a:r>
          <a:endParaRPr lang="de-DE" sz="1200" b="0" strike="noStrike" spc="-1">
            <a:latin typeface="Calibri"/>
          </a:endParaRPr>
        </a:p>
        <a:p>
          <a:pPr>
            <a:lnSpc>
              <a:spcPct val="100000"/>
            </a:lnSpc>
          </a:pPr>
          <a:r>
            <a:rPr lang="en-US" sz="1200" b="0" strike="noStrike" spc="-1">
              <a:solidFill>
                <a:schemeClr val="lt1"/>
              </a:solidFill>
              <a:latin typeface="Calibri"/>
            </a:rPr>
            <a:t>Reagents and solvents for all precursors were traced back to their point of origin wherever feasible. Localized assumptions were introduced for a small subset of calculations where tracing to origin was not possible.</a:t>
          </a:r>
          <a:endParaRPr lang="de-DE" sz="1200" b="0" strike="noStrike" spc="-1">
            <a:latin typeface="Calibri"/>
          </a:endParaRPr>
        </a:p>
        <a:p>
          <a:pPr>
            <a:lnSpc>
              <a:spcPct val="100000"/>
            </a:lnSpc>
          </a:pPr>
          <a:r>
            <a:rPr lang="en-US" sz="1200" b="0" strike="noStrike" spc="-1">
              <a:solidFill>
                <a:schemeClr val="lt1"/>
              </a:solidFill>
              <a:latin typeface="Calibri"/>
            </a:rPr>
            <a:t>Reaction stoichiometry was based on theoretical reaction equations unless more specific experimental details were available.</a:t>
          </a:r>
          <a:endParaRPr lang="de-DE" sz="1200" b="0" strike="noStrike" spc="-1">
            <a:latin typeface="Calibri"/>
          </a:endParaRPr>
        </a:p>
        <a:p>
          <a:pPr>
            <a:lnSpc>
              <a:spcPct val="100000"/>
            </a:lnSpc>
          </a:pPr>
          <a:r>
            <a:rPr lang="en-US" sz="1200" b="0" strike="noStrike" spc="-1">
              <a:solidFill>
                <a:schemeClr val="lt1"/>
              </a:solidFill>
              <a:latin typeface="Calibri"/>
            </a:rPr>
            <a:t>Energy inputs, including heating, cooling, and stirring, were not considered in this assessment.</a:t>
          </a:r>
          <a:endParaRPr lang="de-DE" sz="1200" b="0" strike="noStrike" spc="-1">
            <a:latin typeface="Calibri"/>
          </a:endParaRPr>
        </a:p>
        <a:p>
          <a:pPr>
            <a:lnSpc>
              <a:spcPct val="100000"/>
            </a:lnSpc>
          </a:pPr>
          <a:r>
            <a:rPr lang="en-US" sz="1200" b="0" strike="noStrike" spc="-1">
              <a:solidFill>
                <a:schemeClr val="lt1"/>
              </a:solidFill>
              <a:latin typeface="Calibri"/>
            </a:rPr>
            <a:t>No further material losses were considered except for those attributable to reaction yield.</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1023480</xdr:colOff>
      <xdr:row>2</xdr:row>
      <xdr:rowOff>144720</xdr:rowOff>
    </xdr:from>
    <xdr:to>
      <xdr:col>6</xdr:col>
      <xdr:colOff>1198440</xdr:colOff>
      <xdr:row>23</xdr:row>
      <xdr:rowOff>178560</xdr:rowOff>
    </xdr:to>
    <xdr:sp macro="" textlink="">
      <xdr:nvSpPr>
        <xdr:cNvPr id="6" name="Rectangle: Folded Corner 9">
          <a:extLst>
            <a:ext uri="{FF2B5EF4-FFF2-40B4-BE49-F238E27FC236}">
              <a16:creationId xmlns:a16="http://schemas.microsoft.com/office/drawing/2014/main" id="{00000000-0008-0000-0600-000006000000}"/>
            </a:ext>
          </a:extLst>
        </xdr:cNvPr>
        <xdr:cNvSpPr/>
      </xdr:nvSpPr>
      <xdr:spPr>
        <a:xfrm>
          <a:off x="9910440" y="506520"/>
          <a:ext cx="6567480" cy="3834360"/>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Precursors/catalysts used for both syntheses are provided in SMILES notation.</a:t>
          </a:r>
          <a:endParaRPr lang="de-DE" sz="1200" b="0" strike="noStrike" spc="-1">
            <a:latin typeface="Calibri"/>
          </a:endParaRPr>
        </a:p>
        <a:p>
          <a:pPr>
            <a:lnSpc>
              <a:spcPct val="100000"/>
            </a:lnSpc>
          </a:pPr>
          <a:br/>
          <a:r>
            <a:rPr lang="en-US" sz="1200" b="0" strike="noStrike" spc="-1">
              <a:solidFill>
                <a:schemeClr val="lt1"/>
              </a:solidFill>
              <a:latin typeface="Calibri"/>
            </a:rPr>
            <a:t>Molecular weights were determined using ChemDraw Suite version 23.1.2.</a:t>
          </a:r>
          <a:endParaRPr lang="de-DE" sz="1200" b="0" strike="noStrike" spc="-1">
            <a:latin typeface="Calibri"/>
          </a:endParaRPr>
        </a:p>
        <a:p>
          <a:pPr>
            <a:lnSpc>
              <a:spcPct val="100000"/>
            </a:lnSpc>
          </a:pPr>
          <a:r>
            <a:rPr lang="en-US" sz="1200" b="0" strike="noStrike" spc="-1">
              <a:solidFill>
                <a:schemeClr val="lt1"/>
              </a:solidFill>
              <a:latin typeface="Calibri"/>
            </a:rPr>
            <a:t>Wherever possible, complete and specific data was included in the calculations. If such information was unavailable, appropriate and transparent assumptions were applied. In cases where the estimation of certain precursors, reactants, or solvents was impractical—such as in recursive synthesis loops—simplifying assumptions were adopted. For example, if no data was available for catalysts, or if the mass and production process of a precursor to a precursor could not be reliably determined, these contributions were excluded from the analysis.</a:t>
          </a:r>
          <a:endParaRPr lang="de-DE" sz="1200" b="0" strike="noStrike" spc="-1">
            <a:latin typeface="Calibri"/>
          </a:endParaRPr>
        </a:p>
        <a:p>
          <a:pPr>
            <a:lnSpc>
              <a:spcPct val="100000"/>
            </a:lnSpc>
          </a:pPr>
          <a:r>
            <a:rPr lang="en-US" sz="1200" b="0" strike="noStrike" spc="-1">
              <a:solidFill>
                <a:schemeClr val="lt1"/>
              </a:solidFill>
              <a:latin typeface="Calibri"/>
            </a:rPr>
            <a:t>For solvent usage, a 1:1 solvent-to-substrate ratio was assumed when applicable, or a concentration of 1 mol/L was applied.</a:t>
          </a:r>
          <a:endParaRPr lang="de-DE" sz="1200" b="0" strike="noStrike" spc="-1">
            <a:latin typeface="Calibri"/>
          </a:endParaRPr>
        </a:p>
        <a:p>
          <a:pPr>
            <a:lnSpc>
              <a:spcPct val="100000"/>
            </a:lnSpc>
          </a:pPr>
          <a:r>
            <a:rPr lang="en-US" sz="1200" b="0" strike="noStrike" spc="-1">
              <a:solidFill>
                <a:schemeClr val="lt1"/>
              </a:solidFill>
              <a:latin typeface="Calibri"/>
            </a:rPr>
            <a:t>Reagents and solvents for all precursors were traced back to their point of origin wherever feasible. Localized assumptions were introduced for a small subset of calculations where tracing to origin was not possible.</a:t>
          </a:r>
          <a:endParaRPr lang="de-DE" sz="1200" b="0" strike="noStrike" spc="-1">
            <a:latin typeface="Calibri"/>
          </a:endParaRPr>
        </a:p>
        <a:p>
          <a:pPr>
            <a:lnSpc>
              <a:spcPct val="100000"/>
            </a:lnSpc>
          </a:pPr>
          <a:r>
            <a:rPr lang="en-US" sz="1200" b="0" strike="noStrike" spc="-1">
              <a:solidFill>
                <a:schemeClr val="lt1"/>
              </a:solidFill>
              <a:latin typeface="Calibri"/>
            </a:rPr>
            <a:t>Reaction stoichiometry was based on theoretical reaction equations unless more specific experimental details were available.</a:t>
          </a:r>
          <a:endParaRPr lang="de-DE" sz="1200" b="0" strike="noStrike" spc="-1">
            <a:latin typeface="Calibri"/>
          </a:endParaRPr>
        </a:p>
        <a:p>
          <a:pPr>
            <a:lnSpc>
              <a:spcPct val="100000"/>
            </a:lnSpc>
          </a:pPr>
          <a:r>
            <a:rPr lang="en-US" sz="1200" b="0" strike="noStrike" spc="-1">
              <a:solidFill>
                <a:schemeClr val="lt1"/>
              </a:solidFill>
              <a:latin typeface="Calibri"/>
            </a:rPr>
            <a:t>Energy inputs, including heating, cooling, and stirring, were not considered in this assessment.</a:t>
          </a:r>
          <a:endParaRPr lang="de-DE" sz="1200" b="0" strike="noStrike" spc="-1">
            <a:latin typeface="Calibri"/>
          </a:endParaRPr>
        </a:p>
        <a:p>
          <a:pPr>
            <a:lnSpc>
              <a:spcPct val="100000"/>
            </a:lnSpc>
          </a:pPr>
          <a:r>
            <a:rPr lang="en-US" sz="1200" b="0" strike="noStrike" spc="-1">
              <a:solidFill>
                <a:schemeClr val="lt1"/>
              </a:solidFill>
              <a:latin typeface="Calibri"/>
            </a:rPr>
            <a:t>No further material losses were considered except for those attributable to reaction yield.</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twoCellAnchor>
    <xdr:from>
      <xdr:col>2</xdr:col>
      <xdr:colOff>1382400</xdr:colOff>
      <xdr:row>49</xdr:row>
      <xdr:rowOff>1080</xdr:rowOff>
    </xdr:from>
    <xdr:to>
      <xdr:col>3</xdr:col>
      <xdr:colOff>2149560</xdr:colOff>
      <xdr:row>54</xdr:row>
      <xdr:rowOff>143280</xdr:rowOff>
    </xdr:to>
    <xdr:sp macro="" textlink="">
      <xdr:nvSpPr>
        <xdr:cNvPr id="7" name="Rectangle: Folded Corner 2">
          <a:extLst>
            <a:ext uri="{FF2B5EF4-FFF2-40B4-BE49-F238E27FC236}">
              <a16:creationId xmlns:a16="http://schemas.microsoft.com/office/drawing/2014/main" id="{00000000-0008-0000-0600-000007000000}"/>
            </a:ext>
          </a:extLst>
        </xdr:cNvPr>
        <xdr:cNvSpPr/>
      </xdr:nvSpPr>
      <xdr:spPr>
        <a:xfrm>
          <a:off x="4863600" y="8868960"/>
          <a:ext cx="3163680" cy="1046880"/>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A generic recovery-rate cycle equation for catalysts were employed</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4680</xdr:colOff>
      <xdr:row>0</xdr:row>
      <xdr:rowOff>101880</xdr:rowOff>
    </xdr:from>
    <xdr:to>
      <xdr:col>5</xdr:col>
      <xdr:colOff>1885320</xdr:colOff>
      <xdr:row>20</xdr:row>
      <xdr:rowOff>24120</xdr:rowOff>
    </xdr:to>
    <xdr:sp macro="" textlink="">
      <xdr:nvSpPr>
        <xdr:cNvPr id="8" name="Rectangle: Folded Corner 1">
          <a:extLst>
            <a:ext uri="{FF2B5EF4-FFF2-40B4-BE49-F238E27FC236}">
              <a16:creationId xmlns:a16="http://schemas.microsoft.com/office/drawing/2014/main" id="{00000000-0008-0000-0700-000008000000}"/>
            </a:ext>
          </a:extLst>
        </xdr:cNvPr>
        <xdr:cNvSpPr/>
      </xdr:nvSpPr>
      <xdr:spPr>
        <a:xfrm>
          <a:off x="4456080" y="101880"/>
          <a:ext cx="6542640" cy="3805920"/>
        </a:xfrm>
        <a:prstGeom prst="foldedCorner">
          <a:avLst>
            <a:gd name="adj" fmla="val 16667"/>
          </a:avLst>
        </a:prstGeom>
        <a:solidFill>
          <a:srgbClr val="FFC000"/>
        </a:solidFill>
        <a:ln w="12700">
          <a:solidFill>
            <a:srgbClr val="BC8E00"/>
          </a:solidFill>
          <a:miter/>
        </a:ln>
      </xdr:spPr>
      <xdr:style>
        <a:lnRef idx="2">
          <a:schemeClr val="accent4">
            <a:shade val="50000"/>
          </a:schemeClr>
        </a:lnRef>
        <a:fillRef idx="1">
          <a:schemeClr val="accent4"/>
        </a:fillRef>
        <a:effectRef idx="0">
          <a:schemeClr val="accent4"/>
        </a:effectRef>
        <a:fontRef idx="minor"/>
      </xdr:style>
      <xdr:txBody>
        <a:bodyPr vertOverflow="clip" horzOverflow="clip" lIns="90000" tIns="45000" rIns="90000" bIns="45000" anchor="t">
          <a:noAutofit/>
        </a:bodyPr>
        <a:lstStyle/>
        <a:p>
          <a:pPr>
            <a:lnSpc>
              <a:spcPct val="100000"/>
            </a:lnSpc>
          </a:pPr>
          <a:r>
            <a:rPr lang="en-US" sz="1200" b="1" strike="noStrike" spc="-1">
              <a:solidFill>
                <a:schemeClr val="lt1"/>
              </a:solidFill>
              <a:latin typeface="Calibri"/>
            </a:rPr>
            <a:t>Precursors/catalysts used for both syntheses are provided in SMILES notation.</a:t>
          </a:r>
          <a:endParaRPr lang="de-DE" sz="1200" b="0" strike="noStrike" spc="-1">
            <a:latin typeface="Calibri"/>
          </a:endParaRPr>
        </a:p>
        <a:p>
          <a:pPr>
            <a:lnSpc>
              <a:spcPct val="100000"/>
            </a:lnSpc>
          </a:pPr>
          <a:br/>
          <a:r>
            <a:rPr lang="en-US" sz="1200" b="0" strike="noStrike" spc="-1">
              <a:solidFill>
                <a:schemeClr val="lt1"/>
              </a:solidFill>
              <a:latin typeface="Calibri"/>
            </a:rPr>
            <a:t>Molecular weights were determined using ChemDraw Suite version 23.1.2.</a:t>
          </a:r>
          <a:endParaRPr lang="de-DE" sz="1200" b="0" strike="noStrike" spc="-1">
            <a:latin typeface="Calibri"/>
          </a:endParaRPr>
        </a:p>
        <a:p>
          <a:pPr>
            <a:lnSpc>
              <a:spcPct val="100000"/>
            </a:lnSpc>
          </a:pPr>
          <a:r>
            <a:rPr lang="en-US" sz="1200" b="0" strike="noStrike" spc="-1">
              <a:solidFill>
                <a:schemeClr val="lt1"/>
              </a:solidFill>
              <a:latin typeface="Calibri"/>
            </a:rPr>
            <a:t>Wherever possible, complete and specific data was included in the calculations. If such information was unavailable, appropriate and transparent assumptions were applied. In cases where the estimation of certain precursors, reactants, or solvents was impractical—such as in recursive synthesis loops—simplifying assumptions were adopted. For example, if no data was available for catalysts, or if the mass and production process of a precursor to a precursor could not be reliably determined, these contributions were excluded from the analysis.</a:t>
          </a:r>
          <a:endParaRPr lang="de-DE" sz="1200" b="0" strike="noStrike" spc="-1">
            <a:latin typeface="Calibri"/>
          </a:endParaRPr>
        </a:p>
        <a:p>
          <a:pPr>
            <a:lnSpc>
              <a:spcPct val="100000"/>
            </a:lnSpc>
          </a:pPr>
          <a:r>
            <a:rPr lang="en-US" sz="1200" b="0" strike="noStrike" spc="-1">
              <a:solidFill>
                <a:schemeClr val="lt1"/>
              </a:solidFill>
              <a:latin typeface="Calibri"/>
            </a:rPr>
            <a:t>For solvent usage, a 1:1 solvent-to-substrate ratio was assumed when applicable, or a concentration of 1 mol/L was applied.</a:t>
          </a:r>
          <a:endParaRPr lang="de-DE" sz="1200" b="0" strike="noStrike" spc="-1">
            <a:latin typeface="Calibri"/>
          </a:endParaRPr>
        </a:p>
        <a:p>
          <a:pPr>
            <a:lnSpc>
              <a:spcPct val="100000"/>
            </a:lnSpc>
          </a:pPr>
          <a:r>
            <a:rPr lang="en-US" sz="1200" b="0" strike="noStrike" spc="-1">
              <a:solidFill>
                <a:schemeClr val="lt1"/>
              </a:solidFill>
              <a:latin typeface="Calibri"/>
            </a:rPr>
            <a:t>Reagents and solvents for all precursors were traced back to their point of origin wherever feasible. Localized assumptions were introduced for a small subset of calculations where tracing to origin was not possible.</a:t>
          </a:r>
          <a:endParaRPr lang="de-DE" sz="1200" b="0" strike="noStrike" spc="-1">
            <a:latin typeface="Calibri"/>
          </a:endParaRPr>
        </a:p>
        <a:p>
          <a:pPr>
            <a:lnSpc>
              <a:spcPct val="100000"/>
            </a:lnSpc>
          </a:pPr>
          <a:r>
            <a:rPr lang="en-US" sz="1200" b="0" strike="noStrike" spc="-1">
              <a:solidFill>
                <a:schemeClr val="lt1"/>
              </a:solidFill>
              <a:latin typeface="Calibri"/>
            </a:rPr>
            <a:t>Reaction stoichiometry was based on theoretical reaction equations unless more specific experimental details were available or a 1:1 equivalent was assumed for some cases.</a:t>
          </a:r>
          <a:endParaRPr lang="de-DE" sz="1200" b="0" strike="noStrike" spc="-1">
            <a:latin typeface="Calibri"/>
          </a:endParaRPr>
        </a:p>
        <a:p>
          <a:pPr>
            <a:lnSpc>
              <a:spcPct val="100000"/>
            </a:lnSpc>
          </a:pPr>
          <a:r>
            <a:rPr lang="en-US" sz="1200" b="0" strike="noStrike" spc="-1">
              <a:solidFill>
                <a:schemeClr val="lt1"/>
              </a:solidFill>
              <a:latin typeface="Calibri"/>
            </a:rPr>
            <a:t>Energy inputs, including heating, cooling, and stirring, were not considered in this assessment.</a:t>
          </a:r>
          <a:endParaRPr lang="de-DE" sz="1200" b="0" strike="noStrike" spc="-1">
            <a:latin typeface="Calibri"/>
          </a:endParaRPr>
        </a:p>
        <a:p>
          <a:pPr>
            <a:lnSpc>
              <a:spcPct val="100000"/>
            </a:lnSpc>
          </a:pPr>
          <a:r>
            <a:rPr lang="en-US" sz="1200" b="0" strike="noStrike" spc="-1">
              <a:solidFill>
                <a:schemeClr val="lt1"/>
              </a:solidFill>
              <a:latin typeface="Calibri"/>
            </a:rPr>
            <a:t>No further material losses were considered except for those attributable to reaction yield.</a:t>
          </a:r>
          <a:endParaRPr lang="de-DE" sz="1200" b="0" strike="noStrike" spc="-1">
            <a:latin typeface="Calibri"/>
          </a:endParaRPr>
        </a:p>
        <a:p>
          <a:pPr>
            <a:lnSpc>
              <a:spcPct val="100000"/>
            </a:lnSpc>
          </a:pPr>
          <a:endParaRPr lang="de-DE" sz="1200" b="0" strike="noStrike" spc="-1">
            <a:latin typeface="Calibri"/>
          </a:endParaRPr>
        </a:p>
        <a:p>
          <a:pPr>
            <a:lnSpc>
              <a:spcPct val="100000"/>
            </a:lnSpc>
          </a:pPr>
          <a:r>
            <a:rPr lang="en-US" sz="1200" b="0" strike="noStrike" spc="-1">
              <a:solidFill>
                <a:schemeClr val="lt1"/>
              </a:solidFill>
              <a:latin typeface="Calibri"/>
            </a:rPr>
            <a:t>All rights reserved.</a:t>
          </a:r>
          <a:endParaRPr lang="de-DE" sz="1200" b="0" strike="noStrike" spc="-1">
            <a:latin typeface="Calibri"/>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85" zoomScaleNormal="85" workbookViewId="0">
      <selection activeCell="C43" sqref="C43"/>
    </sheetView>
  </sheetViews>
  <sheetFormatPr defaultColWidth="8.69140625" defaultRowHeight="14.6" x14ac:dyDescent="0.4"/>
  <cols>
    <col min="1" max="1" width="88.69140625" customWidth="1"/>
    <col min="2" max="2" width="49.69140625" customWidth="1"/>
    <col min="3" max="3" width="38.23046875" customWidth="1"/>
    <col min="4" max="4" width="28.69140625" customWidth="1"/>
    <col min="5" max="5" width="27.84375" customWidth="1"/>
    <col min="7" max="7" width="81.69140625" customWidth="1"/>
    <col min="8" max="8" width="24" customWidth="1"/>
    <col min="9" max="9" width="21.23046875" customWidth="1"/>
    <col min="10" max="10" width="14.23046875" customWidth="1"/>
    <col min="12" max="13" width="20.3828125" customWidth="1"/>
    <col min="16" max="16" width="56.3828125" customWidth="1"/>
  </cols>
  <sheetData>
    <row r="1" spans="1:13" ht="18.45" x14ac:dyDescent="0.5">
      <c r="A1" s="208" t="s">
        <v>0</v>
      </c>
      <c r="B1" s="208"/>
    </row>
    <row r="3" spans="1:13" x14ac:dyDescent="0.4">
      <c r="A3" s="1" t="s">
        <v>1</v>
      </c>
      <c r="C3" s="2" t="s">
        <v>2</v>
      </c>
      <c r="K3" s="205"/>
      <c r="L3" s="205"/>
      <c r="M3" s="205"/>
    </row>
    <row r="4" spans="1:13" x14ac:dyDescent="0.4">
      <c r="A4" t="s">
        <v>3</v>
      </c>
      <c r="K4" s="205"/>
      <c r="L4" s="205"/>
      <c r="M4" s="205"/>
    </row>
    <row r="5" spans="1:13" x14ac:dyDescent="0.4">
      <c r="A5" t="s">
        <v>4</v>
      </c>
      <c r="K5" s="209" t="s">
        <v>5</v>
      </c>
      <c r="L5" s="209"/>
      <c r="M5" s="209"/>
    </row>
    <row r="6" spans="1:13" x14ac:dyDescent="0.4">
      <c r="A6" t="s">
        <v>6</v>
      </c>
      <c r="D6" s="3" t="s">
        <v>7</v>
      </c>
      <c r="E6" s="3" t="s">
        <v>8</v>
      </c>
      <c r="G6" s="4" t="s">
        <v>9</v>
      </c>
      <c r="H6" s="5" t="s">
        <v>7</v>
      </c>
      <c r="I6" s="5" t="s">
        <v>8</v>
      </c>
      <c r="J6" s="118"/>
      <c r="K6" s="205"/>
      <c r="L6" s="206" t="s">
        <v>7</v>
      </c>
      <c r="M6" s="206" t="s">
        <v>8</v>
      </c>
    </row>
    <row r="7" spans="1:13" x14ac:dyDescent="0.4">
      <c r="A7" t="s">
        <v>10</v>
      </c>
      <c r="C7" s="7" t="s">
        <v>11</v>
      </c>
      <c r="D7" s="8" t="s">
        <v>12</v>
      </c>
      <c r="E7" s="8" t="s">
        <v>12</v>
      </c>
      <c r="F7" s="2" t="s">
        <v>13</v>
      </c>
      <c r="G7" s="86"/>
      <c r="H7" s="10" t="s">
        <v>14</v>
      </c>
      <c r="I7" s="10" t="s">
        <v>15</v>
      </c>
      <c r="J7" s="11" t="s">
        <v>13</v>
      </c>
      <c r="K7" s="205" t="s">
        <v>9</v>
      </c>
      <c r="L7" s="207" t="s">
        <v>14</v>
      </c>
      <c r="M7" s="207" t="s">
        <v>16</v>
      </c>
    </row>
    <row r="8" spans="1:13" x14ac:dyDescent="0.4">
      <c r="A8" t="s">
        <v>17</v>
      </c>
      <c r="C8" t="str">
        <f>A33</f>
        <v>ReCiPe 2016 v1.03, endpoint (E) | total: natural resources | natural resources</v>
      </c>
      <c r="D8" s="12">
        <f>'2.1. Merck LCA FU'!F108</f>
        <v>4.3951193909126829</v>
      </c>
      <c r="E8" s="13">
        <f>'1.1 LCA This Work FU'!H107</f>
        <v>0</v>
      </c>
      <c r="G8" s="86" t="s">
        <v>3</v>
      </c>
      <c r="H8" s="14">
        <v>0</v>
      </c>
      <c r="I8" s="14">
        <v>0</v>
      </c>
      <c r="J8" s="11" t="s">
        <v>18</v>
      </c>
      <c r="K8" s="205" t="s">
        <v>19</v>
      </c>
      <c r="L8" s="204" t="e">
        <f t="shared" ref="L8:L33" si="0">H8/SUM(H8:I8)</f>
        <v>#DIV/0!</v>
      </c>
      <c r="M8" s="204" t="e">
        <f t="shared" ref="M8:M33" si="1">I8/SUM(H8:I8)</f>
        <v>#DIV/0!</v>
      </c>
    </row>
    <row r="9" spans="1:13" x14ac:dyDescent="0.4">
      <c r="A9" t="s">
        <v>20</v>
      </c>
      <c r="G9" s="86" t="s">
        <v>4</v>
      </c>
      <c r="H9" s="14">
        <v>0</v>
      </c>
      <c r="I9" s="14">
        <v>0</v>
      </c>
      <c r="J9" s="11" t="s">
        <v>21</v>
      </c>
      <c r="K9" s="205" t="s">
        <v>4</v>
      </c>
      <c r="L9" s="204" t="e">
        <f t="shared" si="0"/>
        <v>#DIV/0!</v>
      </c>
      <c r="M9" s="204" t="e">
        <f t="shared" si="1"/>
        <v>#DIV/0!</v>
      </c>
    </row>
    <row r="10" spans="1:13" x14ac:dyDescent="0.4">
      <c r="A10" t="s">
        <v>22</v>
      </c>
      <c r="G10" s="86" t="s">
        <v>6</v>
      </c>
      <c r="H10" s="14">
        <v>0</v>
      </c>
      <c r="I10" s="14">
        <v>0</v>
      </c>
      <c r="J10" s="11" t="s">
        <v>21</v>
      </c>
      <c r="K10" s="205" t="s">
        <v>6</v>
      </c>
      <c r="L10" s="204" t="e">
        <f t="shared" si="0"/>
        <v>#DIV/0!</v>
      </c>
      <c r="M10" s="204" t="e">
        <f t="shared" si="1"/>
        <v>#DIV/0!</v>
      </c>
    </row>
    <row r="11" spans="1:13" x14ac:dyDescent="0.4">
      <c r="A11" t="s">
        <v>23</v>
      </c>
      <c r="G11" s="86" t="s">
        <v>10</v>
      </c>
      <c r="H11" s="14">
        <v>0</v>
      </c>
      <c r="I11" s="14">
        <v>0</v>
      </c>
      <c r="J11" s="11" t="s">
        <v>21</v>
      </c>
      <c r="K11" s="205" t="s">
        <v>10</v>
      </c>
      <c r="L11" s="204" t="e">
        <f t="shared" si="0"/>
        <v>#DIV/0!</v>
      </c>
      <c r="M11" s="204" t="e">
        <f t="shared" si="1"/>
        <v>#DIV/0!</v>
      </c>
    </row>
    <row r="12" spans="1:13" x14ac:dyDescent="0.4">
      <c r="A12" t="s">
        <v>24</v>
      </c>
      <c r="C12" s="15"/>
      <c r="D12" s="15"/>
      <c r="G12" s="86" t="s">
        <v>17</v>
      </c>
      <c r="H12" s="14">
        <v>0</v>
      </c>
      <c r="I12" s="14">
        <v>0</v>
      </c>
      <c r="J12" s="11" t="s">
        <v>21</v>
      </c>
      <c r="K12" s="205" t="s">
        <v>17</v>
      </c>
      <c r="L12" s="204" t="e">
        <f t="shared" si="0"/>
        <v>#DIV/0!</v>
      </c>
      <c r="M12" s="204" t="e">
        <f t="shared" si="1"/>
        <v>#DIV/0!</v>
      </c>
    </row>
    <row r="13" spans="1:13" x14ac:dyDescent="0.4">
      <c r="A13" t="s">
        <v>25</v>
      </c>
      <c r="C13" s="15"/>
      <c r="D13" s="15"/>
      <c r="G13" s="86" t="s">
        <v>20</v>
      </c>
      <c r="H13" s="14">
        <v>0</v>
      </c>
      <c r="I13" s="14">
        <v>0</v>
      </c>
      <c r="J13" s="11" t="s">
        <v>21</v>
      </c>
      <c r="K13" s="205" t="s">
        <v>20</v>
      </c>
      <c r="L13" s="204" t="e">
        <f t="shared" si="0"/>
        <v>#DIV/0!</v>
      </c>
      <c r="M13" s="204" t="e">
        <f t="shared" si="1"/>
        <v>#DIV/0!</v>
      </c>
    </row>
    <row r="14" spans="1:13" x14ac:dyDescent="0.4">
      <c r="A14" t="s">
        <v>26</v>
      </c>
      <c r="C14" s="15"/>
      <c r="D14" s="15"/>
      <c r="G14" s="86" t="s">
        <v>22</v>
      </c>
      <c r="H14" s="14">
        <v>0</v>
      </c>
      <c r="I14" s="14">
        <v>0</v>
      </c>
      <c r="J14" s="11" t="s">
        <v>21</v>
      </c>
      <c r="K14" s="205" t="s">
        <v>22</v>
      </c>
      <c r="L14" s="204" t="e">
        <f t="shared" si="0"/>
        <v>#DIV/0!</v>
      </c>
      <c r="M14" s="204" t="e">
        <f t="shared" si="1"/>
        <v>#DIV/0!</v>
      </c>
    </row>
    <row r="15" spans="1:13" ht="20.6" x14ac:dyDescent="0.55000000000000004">
      <c r="A15" t="s">
        <v>27</v>
      </c>
      <c r="C15" s="16" t="s">
        <v>28</v>
      </c>
      <c r="D15" s="17">
        <v>0.5</v>
      </c>
      <c r="G15" s="86" t="s">
        <v>23</v>
      </c>
      <c r="H15" s="14">
        <v>0</v>
      </c>
      <c r="I15" s="14">
        <v>0</v>
      </c>
      <c r="J15" s="11" t="s">
        <v>21</v>
      </c>
      <c r="K15" s="205" t="s">
        <v>23</v>
      </c>
      <c r="L15" s="204" t="e">
        <f t="shared" si="0"/>
        <v>#DIV/0!</v>
      </c>
      <c r="M15" s="204" t="e">
        <f t="shared" si="1"/>
        <v>#DIV/0!</v>
      </c>
    </row>
    <row r="16" spans="1:13" x14ac:dyDescent="0.4">
      <c r="A16" t="s">
        <v>29</v>
      </c>
      <c r="C16" s="15"/>
      <c r="D16" s="15"/>
      <c r="G16" s="86" t="s">
        <v>24</v>
      </c>
      <c r="H16" s="14">
        <v>0</v>
      </c>
      <c r="I16" s="14">
        <v>0</v>
      </c>
      <c r="J16" s="11" t="s">
        <v>21</v>
      </c>
      <c r="K16" s="205" t="s">
        <v>24</v>
      </c>
      <c r="L16" s="204" t="e">
        <f t="shared" si="0"/>
        <v>#DIV/0!</v>
      </c>
      <c r="M16" s="204" t="e">
        <f t="shared" si="1"/>
        <v>#DIV/0!</v>
      </c>
    </row>
    <row r="17" spans="1:13" x14ac:dyDescent="0.4">
      <c r="A17" t="s">
        <v>30</v>
      </c>
      <c r="C17" s="16" t="s">
        <v>31</v>
      </c>
      <c r="D17" s="16"/>
      <c r="G17" s="86" t="s">
        <v>25</v>
      </c>
      <c r="H17" s="14">
        <v>0</v>
      </c>
      <c r="I17" s="14">
        <v>0</v>
      </c>
      <c r="J17" s="11" t="s">
        <v>21</v>
      </c>
      <c r="K17" s="205" t="s">
        <v>25</v>
      </c>
      <c r="L17" s="204" t="e">
        <f t="shared" si="0"/>
        <v>#DIV/0!</v>
      </c>
      <c r="M17" s="204" t="e">
        <f t="shared" si="1"/>
        <v>#DIV/0!</v>
      </c>
    </row>
    <row r="18" spans="1:13" x14ac:dyDescent="0.4">
      <c r="A18" t="s">
        <v>32</v>
      </c>
      <c r="G18" s="86" t="s">
        <v>26</v>
      </c>
      <c r="H18" s="14">
        <v>0</v>
      </c>
      <c r="I18" s="14">
        <v>0</v>
      </c>
      <c r="J18" s="11" t="s">
        <v>21</v>
      </c>
      <c r="K18" s="205" t="s">
        <v>26</v>
      </c>
      <c r="L18" s="204" t="e">
        <f t="shared" si="0"/>
        <v>#DIV/0!</v>
      </c>
      <c r="M18" s="204" t="e">
        <f t="shared" si="1"/>
        <v>#DIV/0!</v>
      </c>
    </row>
    <row r="19" spans="1:13" x14ac:dyDescent="0.4">
      <c r="A19" t="s">
        <v>33</v>
      </c>
      <c r="G19" s="86" t="s">
        <v>27</v>
      </c>
      <c r="H19" s="14">
        <v>0</v>
      </c>
      <c r="I19" s="14">
        <v>0</v>
      </c>
      <c r="J19" s="11" t="s">
        <v>21</v>
      </c>
      <c r="K19" s="205" t="s">
        <v>27</v>
      </c>
      <c r="L19" s="204" t="e">
        <f t="shared" si="0"/>
        <v>#DIV/0!</v>
      </c>
      <c r="M19" s="204" t="e">
        <f t="shared" si="1"/>
        <v>#DIV/0!</v>
      </c>
    </row>
    <row r="20" spans="1:13" x14ac:dyDescent="0.4">
      <c r="A20" t="s">
        <v>34</v>
      </c>
      <c r="G20" s="86" t="s">
        <v>29</v>
      </c>
      <c r="H20" s="14">
        <v>0</v>
      </c>
      <c r="I20" s="14">
        <v>0</v>
      </c>
      <c r="J20" s="11" t="s">
        <v>21</v>
      </c>
      <c r="K20" s="205" t="s">
        <v>29</v>
      </c>
      <c r="L20" s="204" t="e">
        <f t="shared" si="0"/>
        <v>#DIV/0!</v>
      </c>
      <c r="M20" s="204" t="e">
        <f t="shared" si="1"/>
        <v>#DIV/0!</v>
      </c>
    </row>
    <row r="21" spans="1:13" x14ac:dyDescent="0.4">
      <c r="A21" t="s">
        <v>35</v>
      </c>
      <c r="G21" s="86" t="s">
        <v>30</v>
      </c>
      <c r="H21" s="14">
        <v>0</v>
      </c>
      <c r="I21" s="14">
        <v>0</v>
      </c>
      <c r="J21" s="11" t="s">
        <v>36</v>
      </c>
      <c r="K21" s="205" t="s">
        <v>30</v>
      </c>
      <c r="L21" s="204" t="e">
        <f t="shared" si="0"/>
        <v>#DIV/0!</v>
      </c>
      <c r="M21" s="204" t="e">
        <f t="shared" si="1"/>
        <v>#DIV/0!</v>
      </c>
    </row>
    <row r="22" spans="1:13" x14ac:dyDescent="0.4">
      <c r="A22" t="s">
        <v>37</v>
      </c>
      <c r="G22" s="86" t="s">
        <v>32</v>
      </c>
      <c r="H22" s="14">
        <v>0</v>
      </c>
      <c r="I22" s="14">
        <v>0</v>
      </c>
      <c r="J22" s="11" t="s">
        <v>36</v>
      </c>
      <c r="K22" s="205" t="s">
        <v>32</v>
      </c>
      <c r="L22" s="204" t="e">
        <f t="shared" si="0"/>
        <v>#DIV/0!</v>
      </c>
      <c r="M22" s="204" t="e">
        <f t="shared" si="1"/>
        <v>#DIV/0!</v>
      </c>
    </row>
    <row r="23" spans="1:13" x14ac:dyDescent="0.4">
      <c r="A23" t="s">
        <v>38</v>
      </c>
      <c r="G23" s="86" t="s">
        <v>33</v>
      </c>
      <c r="H23" s="14">
        <v>0</v>
      </c>
      <c r="I23" s="14">
        <v>0</v>
      </c>
      <c r="J23" s="11" t="s">
        <v>36</v>
      </c>
      <c r="K23" s="205" t="s">
        <v>33</v>
      </c>
      <c r="L23" s="204" t="e">
        <f t="shared" si="0"/>
        <v>#DIV/0!</v>
      </c>
      <c r="M23" s="204" t="e">
        <f t="shared" si="1"/>
        <v>#DIV/0!</v>
      </c>
    </row>
    <row r="24" spans="1:13" x14ac:dyDescent="0.4">
      <c r="A24" t="s">
        <v>39</v>
      </c>
      <c r="G24" s="86" t="s">
        <v>34</v>
      </c>
      <c r="H24" s="14">
        <v>0</v>
      </c>
      <c r="I24" s="14">
        <v>0</v>
      </c>
      <c r="J24" s="11" t="s">
        <v>36</v>
      </c>
      <c r="K24" s="205" t="s">
        <v>34</v>
      </c>
      <c r="L24" s="204" t="e">
        <f t="shared" si="0"/>
        <v>#DIV/0!</v>
      </c>
      <c r="M24" s="204" t="e">
        <f t="shared" si="1"/>
        <v>#DIV/0!</v>
      </c>
    </row>
    <row r="25" spans="1:13" x14ac:dyDescent="0.4">
      <c r="A25" t="s">
        <v>40</v>
      </c>
      <c r="G25" s="86" t="s">
        <v>35</v>
      </c>
      <c r="H25" s="14">
        <v>0</v>
      </c>
      <c r="I25" s="14">
        <v>0</v>
      </c>
      <c r="J25" s="11" t="s">
        <v>36</v>
      </c>
      <c r="K25" s="205" t="s">
        <v>35</v>
      </c>
      <c r="L25" s="204" t="e">
        <f t="shared" si="0"/>
        <v>#DIV/0!</v>
      </c>
      <c r="M25" s="204" t="e">
        <f t="shared" si="1"/>
        <v>#DIV/0!</v>
      </c>
    </row>
    <row r="26" spans="1:13" x14ac:dyDescent="0.4">
      <c r="A26" t="s">
        <v>41</v>
      </c>
      <c r="G26" s="86" t="s">
        <v>37</v>
      </c>
      <c r="H26" s="14">
        <v>0</v>
      </c>
      <c r="I26" s="14">
        <v>0</v>
      </c>
      <c r="J26" s="11" t="s">
        <v>36</v>
      </c>
      <c r="K26" s="205" t="s">
        <v>37</v>
      </c>
      <c r="L26" s="204" t="e">
        <f t="shared" si="0"/>
        <v>#DIV/0!</v>
      </c>
      <c r="M26" s="204" t="e">
        <f t="shared" si="1"/>
        <v>#DIV/0!</v>
      </c>
    </row>
    <row r="27" spans="1:13" x14ac:dyDescent="0.4">
      <c r="A27" t="s">
        <v>42</v>
      </c>
      <c r="G27" s="86" t="s">
        <v>38</v>
      </c>
      <c r="H27" s="14">
        <v>0</v>
      </c>
      <c r="I27" s="14">
        <v>0</v>
      </c>
      <c r="J27" s="11" t="s">
        <v>36</v>
      </c>
      <c r="K27" s="205" t="s">
        <v>38</v>
      </c>
      <c r="L27" s="204" t="e">
        <f t="shared" si="0"/>
        <v>#DIV/0!</v>
      </c>
      <c r="M27" s="204" t="e">
        <f t="shared" si="1"/>
        <v>#DIV/0!</v>
      </c>
    </row>
    <row r="28" spans="1:13" x14ac:dyDescent="0.4">
      <c r="A28" t="s">
        <v>43</v>
      </c>
      <c r="G28" s="86" t="s">
        <v>39</v>
      </c>
      <c r="H28" s="14">
        <v>0</v>
      </c>
      <c r="I28" s="14">
        <v>0</v>
      </c>
      <c r="J28" s="11" t="s">
        <v>36</v>
      </c>
      <c r="K28" s="205" t="s">
        <v>39</v>
      </c>
      <c r="L28" s="204" t="e">
        <f t="shared" si="0"/>
        <v>#DIV/0!</v>
      </c>
      <c r="M28" s="204" t="e">
        <f t="shared" si="1"/>
        <v>#DIV/0!</v>
      </c>
    </row>
    <row r="29" spans="1:13" x14ac:dyDescent="0.4">
      <c r="A29" t="s">
        <v>44</v>
      </c>
      <c r="G29" s="86" t="s">
        <v>40</v>
      </c>
      <c r="H29" s="14">
        <v>0</v>
      </c>
      <c r="I29" s="14">
        <v>0</v>
      </c>
      <c r="J29" s="11" t="s">
        <v>45</v>
      </c>
      <c r="K29" s="205" t="s">
        <v>40</v>
      </c>
      <c r="L29" s="204" t="e">
        <f t="shared" si="0"/>
        <v>#DIV/0!</v>
      </c>
      <c r="M29" s="204" t="e">
        <f t="shared" si="1"/>
        <v>#DIV/0!</v>
      </c>
    </row>
    <row r="30" spans="1:13" x14ac:dyDescent="0.4">
      <c r="G30" s="86" t="s">
        <v>41</v>
      </c>
      <c r="H30" s="14">
        <v>0</v>
      </c>
      <c r="I30" s="14">
        <v>0</v>
      </c>
      <c r="J30" s="11" t="s">
        <v>45</v>
      </c>
      <c r="K30" s="205" t="s">
        <v>41</v>
      </c>
      <c r="L30" s="204" t="e">
        <f t="shared" si="0"/>
        <v>#DIV/0!</v>
      </c>
      <c r="M30" s="204" t="e">
        <f t="shared" si="1"/>
        <v>#DIV/0!</v>
      </c>
    </row>
    <row r="31" spans="1:13" x14ac:dyDescent="0.4">
      <c r="G31" s="117" t="s">
        <v>42</v>
      </c>
      <c r="H31" s="19">
        <v>0</v>
      </c>
      <c r="I31" s="20">
        <v>0</v>
      </c>
      <c r="J31" s="21" t="s">
        <v>21</v>
      </c>
      <c r="K31" s="205" t="s">
        <v>42</v>
      </c>
      <c r="L31" s="204" t="e">
        <f t="shared" si="0"/>
        <v>#DIV/0!</v>
      </c>
      <c r="M31" s="204" t="e">
        <f t="shared" si="1"/>
        <v>#DIV/0!</v>
      </c>
    </row>
    <row r="32" spans="1:13" x14ac:dyDescent="0.4">
      <c r="A32" s="1" t="s">
        <v>46</v>
      </c>
      <c r="G32" s="86" t="s">
        <v>43</v>
      </c>
      <c r="H32" s="22">
        <v>0</v>
      </c>
      <c r="I32" s="23">
        <v>0</v>
      </c>
      <c r="J32" s="11" t="s">
        <v>36</v>
      </c>
      <c r="K32" s="205" t="s">
        <v>43</v>
      </c>
      <c r="L32" s="204" t="e">
        <f t="shared" si="0"/>
        <v>#DIV/0!</v>
      </c>
      <c r="M32" s="204" t="e">
        <f t="shared" si="1"/>
        <v>#DIV/0!</v>
      </c>
    </row>
    <row r="33" spans="1:13" x14ac:dyDescent="0.4">
      <c r="A33" t="s">
        <v>44</v>
      </c>
      <c r="G33" s="119" t="s">
        <v>44</v>
      </c>
      <c r="H33" s="25">
        <v>0</v>
      </c>
      <c r="I33" s="26">
        <v>0</v>
      </c>
      <c r="J33" s="27" t="s">
        <v>45</v>
      </c>
      <c r="K33" s="205" t="s">
        <v>44</v>
      </c>
      <c r="L33" s="204" t="e">
        <f t="shared" si="0"/>
        <v>#DIV/0!</v>
      </c>
      <c r="M33" s="204" t="e">
        <f t="shared" si="1"/>
        <v>#DIV/0!</v>
      </c>
    </row>
  </sheetData>
  <mergeCells count="2">
    <mergeCell ref="A1:B1"/>
    <mergeCell ref="K5:M5"/>
  </mergeCells>
  <conditionalFormatting sqref="H33:I33">
    <cfRule type="colorScale" priority="2">
      <colorScale>
        <cfvo type="min"/>
        <cfvo type="percentile" val="50"/>
        <cfvo type="max"/>
        <color rgb="FF63BE7B"/>
        <color rgb="FFFFEB84"/>
        <color rgb="FFF8696B"/>
      </colorScale>
    </cfRule>
  </conditionalFormatting>
  <conditionalFormatting sqref="H32:I32">
    <cfRule type="colorScale" priority="3">
      <colorScale>
        <cfvo type="min"/>
        <cfvo type="percentile" val="50"/>
        <cfvo type="max"/>
        <color rgb="FF63BE7B"/>
        <color rgb="FFFFEB84"/>
        <color rgb="FFF8696B"/>
      </colorScale>
    </cfRule>
  </conditionalFormatting>
  <conditionalFormatting sqref="H31:I31">
    <cfRule type="colorScale" priority="4">
      <colorScale>
        <cfvo type="min"/>
        <cfvo type="percentile" val="50"/>
        <cfvo type="max"/>
        <color rgb="FF63BE7B"/>
        <color rgb="FFFFEB84"/>
        <color rgb="FFF8696B"/>
      </colorScale>
    </cfRule>
  </conditionalFormatting>
  <conditionalFormatting sqref="H30:I30">
    <cfRule type="colorScale" priority="5">
      <colorScale>
        <cfvo type="min"/>
        <cfvo type="percentile" val="50"/>
        <cfvo type="max"/>
        <color rgb="FF63BE7B"/>
        <color rgb="FFFFEB84"/>
        <color rgb="FFF8696B"/>
      </colorScale>
    </cfRule>
  </conditionalFormatting>
  <conditionalFormatting sqref="H29:I29">
    <cfRule type="colorScale" priority="6">
      <colorScale>
        <cfvo type="min"/>
        <cfvo type="percentile" val="50"/>
        <cfvo type="max"/>
        <color rgb="FF63BE7B"/>
        <color rgb="FFFFEB84"/>
        <color rgb="FFF8696B"/>
      </colorScale>
    </cfRule>
  </conditionalFormatting>
  <conditionalFormatting sqref="H28:I28">
    <cfRule type="colorScale" priority="7">
      <colorScale>
        <cfvo type="min"/>
        <cfvo type="percentile" val="50"/>
        <cfvo type="max"/>
        <color rgb="FF63BE7B"/>
        <color rgb="FFFFEB84"/>
        <color rgb="FFF8696B"/>
      </colorScale>
    </cfRule>
  </conditionalFormatting>
  <conditionalFormatting sqref="H27:I27">
    <cfRule type="colorScale" priority="8">
      <colorScale>
        <cfvo type="min"/>
        <cfvo type="percentile" val="50"/>
        <cfvo type="max"/>
        <color rgb="FF63BE7B"/>
        <color rgb="FFFFEB84"/>
        <color rgb="FFF8696B"/>
      </colorScale>
    </cfRule>
  </conditionalFormatting>
  <conditionalFormatting sqref="H26:I26">
    <cfRule type="colorScale" priority="9">
      <colorScale>
        <cfvo type="min"/>
        <cfvo type="percentile" val="50"/>
        <cfvo type="max"/>
        <color rgb="FF63BE7B"/>
        <color rgb="FFFFEB84"/>
        <color rgb="FFF8696B"/>
      </colorScale>
    </cfRule>
  </conditionalFormatting>
  <conditionalFormatting sqref="H25:I25">
    <cfRule type="colorScale" priority="10">
      <colorScale>
        <cfvo type="min"/>
        <cfvo type="percentile" val="50"/>
        <cfvo type="max"/>
        <color rgb="FF63BE7B"/>
        <color rgb="FFFFEB84"/>
        <color rgb="FFF8696B"/>
      </colorScale>
    </cfRule>
  </conditionalFormatting>
  <conditionalFormatting sqref="H24:I24">
    <cfRule type="colorScale" priority="11">
      <colorScale>
        <cfvo type="min"/>
        <cfvo type="percentile" val="50"/>
        <cfvo type="max"/>
        <color rgb="FF63BE7B"/>
        <color rgb="FFFFEB84"/>
        <color rgb="FFF8696B"/>
      </colorScale>
    </cfRule>
  </conditionalFormatting>
  <conditionalFormatting sqref="H23:I23">
    <cfRule type="colorScale" priority="12">
      <colorScale>
        <cfvo type="min"/>
        <cfvo type="percentile" val="50"/>
        <cfvo type="max"/>
        <color rgb="FF63BE7B"/>
        <color rgb="FFFFEB84"/>
        <color rgb="FFF8696B"/>
      </colorScale>
    </cfRule>
  </conditionalFormatting>
  <conditionalFormatting sqref="H22:I22">
    <cfRule type="colorScale" priority="13">
      <colorScale>
        <cfvo type="min"/>
        <cfvo type="percentile" val="50"/>
        <cfvo type="max"/>
        <color rgb="FF63BE7B"/>
        <color rgb="FFFFEB84"/>
        <color rgb="FFF8696B"/>
      </colorScale>
    </cfRule>
  </conditionalFormatting>
  <conditionalFormatting sqref="H21:I21">
    <cfRule type="colorScale" priority="14">
      <colorScale>
        <cfvo type="min"/>
        <cfvo type="percentile" val="50"/>
        <cfvo type="max"/>
        <color rgb="FF63BE7B"/>
        <color rgb="FFFFEB84"/>
        <color rgb="FFF8696B"/>
      </colorScale>
    </cfRule>
  </conditionalFormatting>
  <conditionalFormatting sqref="H20:I20">
    <cfRule type="colorScale" priority="15">
      <colorScale>
        <cfvo type="min"/>
        <cfvo type="percentile" val="50"/>
        <cfvo type="max"/>
        <color rgb="FF63BE7B"/>
        <color rgb="FFFFEB84"/>
        <color rgb="FFF8696B"/>
      </colorScale>
    </cfRule>
  </conditionalFormatting>
  <conditionalFormatting sqref="H19:I19">
    <cfRule type="colorScale" priority="16">
      <colorScale>
        <cfvo type="min"/>
        <cfvo type="percentile" val="50"/>
        <cfvo type="max"/>
        <color rgb="FF63BE7B"/>
        <color rgb="FFFFEB84"/>
        <color rgb="FFF8696B"/>
      </colorScale>
    </cfRule>
  </conditionalFormatting>
  <conditionalFormatting sqref="H18:I18">
    <cfRule type="colorScale" priority="17">
      <colorScale>
        <cfvo type="min"/>
        <cfvo type="percentile" val="50"/>
        <cfvo type="max"/>
        <color rgb="FF63BE7B"/>
        <color rgb="FFFFEB84"/>
        <color rgb="FFF8696B"/>
      </colorScale>
    </cfRule>
  </conditionalFormatting>
  <conditionalFormatting sqref="H17:I17">
    <cfRule type="colorScale" priority="18">
      <colorScale>
        <cfvo type="min"/>
        <cfvo type="percentile" val="50"/>
        <cfvo type="max"/>
        <color rgb="FF63BE7B"/>
        <color rgb="FFFFEB84"/>
        <color rgb="FFF8696B"/>
      </colorScale>
    </cfRule>
  </conditionalFormatting>
  <conditionalFormatting sqref="H16:I16">
    <cfRule type="colorScale" priority="19">
      <colorScale>
        <cfvo type="min"/>
        <cfvo type="percentile" val="50"/>
        <cfvo type="max"/>
        <color rgb="FF63BE7B"/>
        <color rgb="FFFFEB84"/>
        <color rgb="FFF8696B"/>
      </colorScale>
    </cfRule>
  </conditionalFormatting>
  <conditionalFormatting sqref="H15:I15">
    <cfRule type="colorScale" priority="20">
      <colorScale>
        <cfvo type="min"/>
        <cfvo type="percentile" val="50"/>
        <cfvo type="max"/>
        <color rgb="FF63BE7B"/>
        <color rgb="FFFFEB84"/>
        <color rgb="FFF8696B"/>
      </colorScale>
    </cfRule>
  </conditionalFormatting>
  <conditionalFormatting sqref="H14:I14">
    <cfRule type="colorScale" priority="21">
      <colorScale>
        <cfvo type="min"/>
        <cfvo type="percentile" val="50"/>
        <cfvo type="max"/>
        <color rgb="FF63BE7B"/>
        <color rgb="FFFFEB84"/>
        <color rgb="FFF8696B"/>
      </colorScale>
    </cfRule>
  </conditionalFormatting>
  <conditionalFormatting sqref="H13:I13">
    <cfRule type="colorScale" priority="22">
      <colorScale>
        <cfvo type="min"/>
        <cfvo type="percentile" val="50"/>
        <cfvo type="max"/>
        <color rgb="FF63BE7B"/>
        <color rgb="FFFFEB84"/>
        <color rgb="FFF8696B"/>
      </colorScale>
    </cfRule>
  </conditionalFormatting>
  <conditionalFormatting sqref="H12:I12">
    <cfRule type="colorScale" priority="23">
      <colorScale>
        <cfvo type="min"/>
        <cfvo type="percentile" val="50"/>
        <cfvo type="max"/>
        <color rgb="FF63BE7B"/>
        <color rgb="FFFFEB84"/>
        <color rgb="FFF8696B"/>
      </colorScale>
    </cfRule>
  </conditionalFormatting>
  <conditionalFormatting sqref="H11:I11">
    <cfRule type="colorScale" priority="24">
      <colorScale>
        <cfvo type="min"/>
        <cfvo type="percentile" val="50"/>
        <cfvo type="max"/>
        <color rgb="FF63BE7B"/>
        <color rgb="FFFFEB84"/>
        <color rgb="FFF8696B"/>
      </colorScale>
    </cfRule>
  </conditionalFormatting>
  <conditionalFormatting sqref="H10:I10">
    <cfRule type="colorScale" priority="25">
      <colorScale>
        <cfvo type="min"/>
        <cfvo type="percentile" val="50"/>
        <cfvo type="max"/>
        <color rgb="FF63BE7B"/>
        <color rgb="FFFFEB84"/>
        <color rgb="FFF8696B"/>
      </colorScale>
    </cfRule>
  </conditionalFormatting>
  <conditionalFormatting sqref="H9:I9">
    <cfRule type="colorScale" priority="26">
      <colorScale>
        <cfvo type="min"/>
        <cfvo type="percentile" val="50"/>
        <cfvo type="max"/>
        <color rgb="FF63BE7B"/>
        <color rgb="FFFFEB84"/>
        <color rgb="FFF8696B"/>
      </colorScale>
    </cfRule>
  </conditionalFormatting>
  <conditionalFormatting sqref="H8:I8">
    <cfRule type="colorScale" priority="27">
      <colorScale>
        <cfvo type="min"/>
        <cfvo type="percentile" val="50"/>
        <cfvo type="max"/>
        <color rgb="FF63BE7B"/>
        <color rgb="FFFFEB84"/>
        <color rgb="FFF8696B"/>
      </colorScale>
    </cfRule>
  </conditionalFormatting>
  <pageMargins left="0.7" right="0.7" top="0.75" bottom="0.75"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3">
              <controlPr defaultSize="0" autoPict="0" macro="Module1.LoopAndCopyData">
                <anchor moveWithCells="1" sizeWithCells="1">
                  <from>
                    <xdr:col>6</xdr:col>
                    <xdr:colOff>2035629</xdr:colOff>
                    <xdr:row>0</xdr:row>
                    <xdr:rowOff>65314</xdr:rowOff>
                  </from>
                  <to>
                    <xdr:col>6</xdr:col>
                    <xdr:colOff>5600700</xdr:colOff>
                    <xdr:row>4</xdr:row>
                    <xdr:rowOff>92529</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28"/>
  <sheetViews>
    <sheetView topLeftCell="A61" zoomScale="55" zoomScaleNormal="55" workbookViewId="0">
      <selection activeCell="H66" sqref="H66"/>
    </sheetView>
  </sheetViews>
  <sheetFormatPr defaultColWidth="8.69140625" defaultRowHeight="14.6" x14ac:dyDescent="0.4"/>
  <cols>
    <col min="1" max="1" width="6.69140625" customWidth="1"/>
    <col min="2" max="2" width="4.23046875" customWidth="1"/>
    <col min="3" max="3" width="8.53515625" customWidth="1"/>
    <col min="4" max="4" width="48.53515625" customWidth="1"/>
    <col min="5" max="5" width="78.23046875" customWidth="1"/>
    <col min="6" max="6" width="8.53515625" customWidth="1"/>
    <col min="7" max="7" width="23.84375" customWidth="1"/>
    <col min="8" max="8" width="56" style="28" customWidth="1"/>
    <col min="9" max="9" width="32.921875" customWidth="1"/>
    <col min="10" max="10" width="54.15234375" customWidth="1"/>
    <col min="11" max="33" width="42.23046875" customWidth="1"/>
    <col min="34" max="34" width="68.23046875" customWidth="1"/>
  </cols>
  <sheetData>
    <row r="1" spans="1:34" ht="15.75" customHeight="1" x14ac:dyDescent="0.4">
      <c r="A1" s="7" t="s">
        <v>47</v>
      </c>
      <c r="H1" s="29"/>
    </row>
    <row r="2" spans="1:34" ht="15.75" customHeight="1" x14ac:dyDescent="0.4">
      <c r="H2" s="30" t="s">
        <v>48</v>
      </c>
    </row>
    <row r="3" spans="1:34" ht="15.75" customHeight="1" x14ac:dyDescent="0.4">
      <c r="A3" s="31" t="s">
        <v>49</v>
      </c>
      <c r="B3" s="32" t="s">
        <v>50</v>
      </c>
      <c r="C3" s="32" t="s">
        <v>13</v>
      </c>
      <c r="D3" s="32" t="s">
        <v>51</v>
      </c>
      <c r="E3" s="32" t="s">
        <v>52</v>
      </c>
      <c r="F3" s="32" t="s">
        <v>53</v>
      </c>
      <c r="G3" s="32" t="s">
        <v>54</v>
      </c>
      <c r="H3" s="33" t="str">
        <f>Macro!C8</f>
        <v>ReCiPe 2016 v1.03, endpoint (E) | total: natural resources | natural resources</v>
      </c>
      <c r="I3" s="32" t="s">
        <v>3</v>
      </c>
      <c r="J3" s="32" t="s">
        <v>4</v>
      </c>
      <c r="K3" s="32" t="s">
        <v>6</v>
      </c>
      <c r="L3" s="32" t="s">
        <v>10</v>
      </c>
      <c r="M3" s="32" t="s">
        <v>17</v>
      </c>
      <c r="N3" s="32" t="s">
        <v>20</v>
      </c>
      <c r="O3" s="32" t="s">
        <v>22</v>
      </c>
      <c r="P3" s="32" t="s">
        <v>23</v>
      </c>
      <c r="Q3" s="32" t="s">
        <v>24</v>
      </c>
      <c r="R3" s="32" t="s">
        <v>25</v>
      </c>
      <c r="S3" s="32" t="s">
        <v>26</v>
      </c>
      <c r="T3" s="32" t="s">
        <v>27</v>
      </c>
      <c r="U3" s="32" t="s">
        <v>29</v>
      </c>
      <c r="V3" s="32" t="s">
        <v>30</v>
      </c>
      <c r="W3" s="32" t="s">
        <v>32</v>
      </c>
      <c r="X3" s="32" t="s">
        <v>33</v>
      </c>
      <c r="Y3" s="32" t="s">
        <v>34</v>
      </c>
      <c r="Z3" s="32" t="s">
        <v>35</v>
      </c>
      <c r="AA3" s="32" t="s">
        <v>37</v>
      </c>
      <c r="AB3" s="32" t="s">
        <v>38</v>
      </c>
      <c r="AC3" s="32" t="s">
        <v>39</v>
      </c>
      <c r="AD3" s="32" t="s">
        <v>40</v>
      </c>
      <c r="AE3" s="32" t="s">
        <v>41</v>
      </c>
      <c r="AF3" s="32" t="s">
        <v>42</v>
      </c>
      <c r="AG3" s="32" t="s">
        <v>43</v>
      </c>
      <c r="AH3" s="34" t="s">
        <v>44</v>
      </c>
    </row>
    <row r="4" spans="1:34" ht="15.75" customHeight="1" x14ac:dyDescent="0.4">
      <c r="A4" s="9" t="s">
        <v>55</v>
      </c>
      <c r="B4" s="35">
        <v>1</v>
      </c>
      <c r="C4" s="35" t="s">
        <v>56</v>
      </c>
      <c r="D4" s="35" t="s">
        <v>57</v>
      </c>
      <c r="E4" s="35" t="s">
        <v>58</v>
      </c>
      <c r="F4" s="35" t="s">
        <v>59</v>
      </c>
      <c r="G4" s="35" t="s">
        <v>60</v>
      </c>
      <c r="H4" s="28">
        <f t="shared" ref="H4:H35" si="0">IFERROR(INDEX(I4:AH4,MATCH($H$3,$I$3:$AH$3,0)),"")</f>
        <v>0</v>
      </c>
      <c r="I4" s="36"/>
      <c r="J4" s="36"/>
      <c r="K4" s="36"/>
      <c r="L4" s="36"/>
      <c r="M4" s="36"/>
      <c r="N4" s="36"/>
      <c r="O4" s="36"/>
      <c r="P4" s="36"/>
      <c r="Q4" s="36"/>
      <c r="R4" s="36"/>
      <c r="S4" s="36"/>
      <c r="T4" s="36"/>
      <c r="U4" s="36"/>
      <c r="V4" s="36"/>
      <c r="W4" s="36"/>
      <c r="X4" s="36"/>
      <c r="Y4" s="36"/>
      <c r="Z4" s="36"/>
      <c r="AA4" s="36"/>
      <c r="AB4" s="36"/>
      <c r="AC4" s="36"/>
      <c r="AD4" s="36"/>
      <c r="AE4" s="36"/>
      <c r="AF4" s="36"/>
      <c r="AG4" s="36"/>
      <c r="AH4" s="37"/>
    </row>
    <row r="5" spans="1:34" ht="15.75" customHeight="1" x14ac:dyDescent="0.4">
      <c r="A5" s="9" t="s">
        <v>61</v>
      </c>
      <c r="B5" s="35">
        <v>1</v>
      </c>
      <c r="C5" s="35" t="s">
        <v>56</v>
      </c>
      <c r="D5" s="35" t="s">
        <v>62</v>
      </c>
      <c r="E5" s="35" t="s">
        <v>63</v>
      </c>
      <c r="F5" s="35" t="s">
        <v>59</v>
      </c>
      <c r="G5" s="35" t="s">
        <v>60</v>
      </c>
      <c r="H5" s="38">
        <f t="shared" si="0"/>
        <v>0</v>
      </c>
      <c r="I5" s="36"/>
      <c r="J5" s="36"/>
      <c r="K5" s="36"/>
      <c r="L5" s="36"/>
      <c r="M5" s="36"/>
      <c r="N5" s="36"/>
      <c r="O5" s="36"/>
      <c r="P5" s="36"/>
      <c r="Q5" s="36"/>
      <c r="R5" s="36"/>
      <c r="S5" s="36"/>
      <c r="T5" s="36"/>
      <c r="U5" s="36"/>
      <c r="V5" s="36"/>
      <c r="W5" s="36"/>
      <c r="X5" s="36"/>
      <c r="Y5" s="36"/>
      <c r="Z5" s="36"/>
      <c r="AA5" s="36"/>
      <c r="AB5" s="36"/>
      <c r="AC5" s="36"/>
      <c r="AD5" s="36"/>
      <c r="AE5" s="36"/>
      <c r="AF5" s="36"/>
      <c r="AG5" s="36"/>
      <c r="AH5" s="37"/>
    </row>
    <row r="6" spans="1:34" ht="15.75" customHeight="1" x14ac:dyDescent="0.4">
      <c r="A6" s="9" t="s">
        <v>64</v>
      </c>
      <c r="B6" s="35">
        <v>1</v>
      </c>
      <c r="C6" s="35" t="s">
        <v>56</v>
      </c>
      <c r="D6" s="35" t="s">
        <v>65</v>
      </c>
      <c r="E6" s="35" t="s">
        <v>66</v>
      </c>
      <c r="F6" s="35" t="s">
        <v>67</v>
      </c>
      <c r="G6" s="35" t="s">
        <v>60</v>
      </c>
      <c r="H6" s="38">
        <f t="shared" si="0"/>
        <v>0</v>
      </c>
      <c r="I6" s="36"/>
      <c r="J6" s="36"/>
      <c r="K6" s="36"/>
      <c r="L6" s="36"/>
      <c r="M6" s="36"/>
      <c r="N6" s="36"/>
      <c r="O6" s="36"/>
      <c r="P6" s="36"/>
      <c r="Q6" s="36"/>
      <c r="R6" s="36"/>
      <c r="S6" s="36"/>
      <c r="T6" s="36"/>
      <c r="U6" s="36"/>
      <c r="V6" s="36"/>
      <c r="W6" s="36"/>
      <c r="X6" s="36"/>
      <c r="Y6" s="36"/>
      <c r="Z6" s="36"/>
      <c r="AA6" s="36"/>
      <c r="AB6" s="36"/>
      <c r="AC6" s="36"/>
      <c r="AD6" s="36"/>
      <c r="AE6" s="36"/>
      <c r="AF6" s="36"/>
      <c r="AG6" s="36"/>
      <c r="AH6" s="37"/>
    </row>
    <row r="7" spans="1:34" ht="15.75" customHeight="1" x14ac:dyDescent="0.4">
      <c r="A7" s="9" t="s">
        <v>68</v>
      </c>
      <c r="B7" s="35">
        <v>1</v>
      </c>
      <c r="C7" s="35" t="s">
        <v>56</v>
      </c>
      <c r="D7" s="35" t="s">
        <v>69</v>
      </c>
      <c r="E7" s="35" t="s">
        <v>70</v>
      </c>
      <c r="F7" s="35" t="s">
        <v>59</v>
      </c>
      <c r="G7" s="35" t="s">
        <v>60</v>
      </c>
      <c r="H7" s="38">
        <f t="shared" si="0"/>
        <v>0</v>
      </c>
      <c r="I7" s="36"/>
      <c r="J7" s="36"/>
      <c r="K7" s="36"/>
      <c r="L7" s="36"/>
      <c r="M7" s="36"/>
      <c r="N7" s="36"/>
      <c r="O7" s="36"/>
      <c r="P7" s="36"/>
      <c r="Q7" s="36"/>
      <c r="R7" s="36"/>
      <c r="S7" s="36"/>
      <c r="T7" s="36"/>
      <c r="U7" s="36"/>
      <c r="V7" s="36"/>
      <c r="W7" s="36"/>
      <c r="X7" s="36"/>
      <c r="Y7" s="36"/>
      <c r="Z7" s="36"/>
      <c r="AA7" s="36"/>
      <c r="AB7" s="36"/>
      <c r="AC7" s="36"/>
      <c r="AD7" s="36"/>
      <c r="AE7" s="36"/>
      <c r="AF7" s="36"/>
      <c r="AG7" s="36"/>
      <c r="AH7" s="37"/>
    </row>
    <row r="8" spans="1:34" ht="15.75" customHeight="1" x14ac:dyDescent="0.4">
      <c r="A8" s="9" t="s">
        <v>71</v>
      </c>
      <c r="B8" s="35">
        <v>1</v>
      </c>
      <c r="C8" s="35" t="s">
        <v>56</v>
      </c>
      <c r="D8" s="35" t="s">
        <v>72</v>
      </c>
      <c r="E8" s="35" t="s">
        <v>73</v>
      </c>
      <c r="F8" s="35" t="s">
        <v>74</v>
      </c>
      <c r="G8" s="35" t="s">
        <v>60</v>
      </c>
      <c r="H8" s="38">
        <f t="shared" si="0"/>
        <v>0</v>
      </c>
      <c r="I8" s="36"/>
      <c r="J8" s="36"/>
      <c r="K8" s="36"/>
      <c r="L8" s="36"/>
      <c r="M8" s="36"/>
      <c r="N8" s="36"/>
      <c r="O8" s="36"/>
      <c r="P8" s="36"/>
      <c r="Q8" s="36"/>
      <c r="R8" s="36"/>
      <c r="S8" s="36"/>
      <c r="T8" s="36"/>
      <c r="U8" s="36"/>
      <c r="V8" s="36"/>
      <c r="W8" s="36"/>
      <c r="X8" s="36"/>
      <c r="Y8" s="36"/>
      <c r="Z8" s="36"/>
      <c r="AA8" s="36"/>
      <c r="AB8" s="36"/>
      <c r="AC8" s="36"/>
      <c r="AD8" s="36"/>
      <c r="AE8" s="36"/>
      <c r="AF8" s="36"/>
      <c r="AG8" s="36"/>
      <c r="AH8" s="37"/>
    </row>
    <row r="9" spans="1:34" ht="15.75" customHeight="1" x14ac:dyDescent="0.4">
      <c r="A9" s="9" t="s">
        <v>75</v>
      </c>
      <c r="B9" s="35">
        <v>1</v>
      </c>
      <c r="C9" s="35" t="s">
        <v>56</v>
      </c>
      <c r="D9" s="35" t="s">
        <v>76</v>
      </c>
      <c r="E9" s="35" t="s">
        <v>77</v>
      </c>
      <c r="F9" s="35" t="s">
        <v>59</v>
      </c>
      <c r="G9" s="35" t="s">
        <v>60</v>
      </c>
      <c r="H9" s="38">
        <f t="shared" si="0"/>
        <v>0</v>
      </c>
      <c r="I9" s="36"/>
      <c r="J9" s="36"/>
      <c r="K9" s="36"/>
      <c r="L9" s="36"/>
      <c r="M9" s="36"/>
      <c r="N9" s="36"/>
      <c r="O9" s="36"/>
      <c r="P9" s="36"/>
      <c r="Q9" s="36"/>
      <c r="R9" s="36"/>
      <c r="S9" s="36"/>
      <c r="T9" s="36"/>
      <c r="U9" s="36"/>
      <c r="V9" s="36"/>
      <c r="W9" s="36"/>
      <c r="X9" s="36"/>
      <c r="Y9" s="36"/>
      <c r="Z9" s="36"/>
      <c r="AA9" s="36"/>
      <c r="AB9" s="36"/>
      <c r="AC9" s="36"/>
      <c r="AD9" s="36"/>
      <c r="AE9" s="36"/>
      <c r="AF9" s="36"/>
      <c r="AG9" s="36"/>
      <c r="AH9" s="37"/>
    </row>
    <row r="10" spans="1:34" ht="15.75" customHeight="1" x14ac:dyDescent="0.4">
      <c r="A10" s="9" t="s">
        <v>78</v>
      </c>
      <c r="B10" s="35">
        <v>1</v>
      </c>
      <c r="C10" s="35" t="s">
        <v>56</v>
      </c>
      <c r="D10" s="35" t="s">
        <v>79</v>
      </c>
      <c r="E10" s="35" t="s">
        <v>80</v>
      </c>
      <c r="F10" s="35" t="s">
        <v>59</v>
      </c>
      <c r="G10" s="35" t="s">
        <v>60</v>
      </c>
      <c r="H10" s="38">
        <f t="shared" si="0"/>
        <v>0</v>
      </c>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7"/>
    </row>
    <row r="11" spans="1:34" ht="15.75" customHeight="1" x14ac:dyDescent="0.4">
      <c r="A11" s="9" t="s">
        <v>81</v>
      </c>
      <c r="B11" s="35">
        <v>1</v>
      </c>
      <c r="C11" s="35" t="s">
        <v>56</v>
      </c>
      <c r="D11" s="35" t="s">
        <v>82</v>
      </c>
      <c r="E11" s="35" t="s">
        <v>83</v>
      </c>
      <c r="F11" s="35" t="s">
        <v>59</v>
      </c>
      <c r="G11" s="35" t="s">
        <v>60</v>
      </c>
      <c r="H11" s="38">
        <f t="shared" si="0"/>
        <v>0</v>
      </c>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7"/>
    </row>
    <row r="12" spans="1:34" ht="15.75" customHeight="1" x14ac:dyDescent="0.4">
      <c r="A12" s="9" t="s">
        <v>84</v>
      </c>
      <c r="B12" s="35">
        <v>1</v>
      </c>
      <c r="C12" s="35" t="s">
        <v>56</v>
      </c>
      <c r="D12" s="35" t="s">
        <v>85</v>
      </c>
      <c r="E12" s="35" t="s">
        <v>86</v>
      </c>
      <c r="F12" s="35" t="s">
        <v>59</v>
      </c>
      <c r="G12" s="35" t="s">
        <v>60</v>
      </c>
      <c r="H12" s="38">
        <f t="shared" si="0"/>
        <v>0</v>
      </c>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7"/>
    </row>
    <row r="13" spans="1:34" ht="15.75" customHeight="1" x14ac:dyDescent="0.4">
      <c r="A13" s="9" t="s">
        <v>87</v>
      </c>
      <c r="B13" s="35">
        <v>1</v>
      </c>
      <c r="C13" s="35" t="s">
        <v>56</v>
      </c>
      <c r="D13" s="35" t="s">
        <v>88</v>
      </c>
      <c r="E13" s="35" t="s">
        <v>89</v>
      </c>
      <c r="F13" s="35" t="s">
        <v>59</v>
      </c>
      <c r="G13" s="35" t="s">
        <v>60</v>
      </c>
      <c r="H13" s="38">
        <f t="shared" si="0"/>
        <v>0</v>
      </c>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7"/>
    </row>
    <row r="14" spans="1:34" ht="15.75" customHeight="1" x14ac:dyDescent="0.4">
      <c r="A14" s="9" t="s">
        <v>90</v>
      </c>
      <c r="B14" s="35">
        <v>1</v>
      </c>
      <c r="C14" s="35" t="s">
        <v>56</v>
      </c>
      <c r="D14" s="35" t="s">
        <v>91</v>
      </c>
      <c r="E14" s="35" t="s">
        <v>92</v>
      </c>
      <c r="F14" s="35" t="s">
        <v>59</v>
      </c>
      <c r="G14" s="35" t="s">
        <v>60</v>
      </c>
      <c r="H14" s="38">
        <f t="shared" si="0"/>
        <v>0</v>
      </c>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7"/>
    </row>
    <row r="15" spans="1:34" ht="15.75" customHeight="1" x14ac:dyDescent="0.4">
      <c r="A15" s="9" t="s">
        <v>93</v>
      </c>
      <c r="B15" s="35">
        <v>1</v>
      </c>
      <c r="C15" s="35" t="s">
        <v>56</v>
      </c>
      <c r="D15" s="35" t="s">
        <v>94</v>
      </c>
      <c r="E15" s="35" t="s">
        <v>95</v>
      </c>
      <c r="F15" s="35" t="s">
        <v>67</v>
      </c>
      <c r="G15" s="35" t="s">
        <v>60</v>
      </c>
      <c r="H15" s="38">
        <f t="shared" si="0"/>
        <v>0</v>
      </c>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7"/>
    </row>
    <row r="16" spans="1:34" ht="15.75" customHeight="1" x14ac:dyDescent="0.4">
      <c r="A16" s="9" t="s">
        <v>96</v>
      </c>
      <c r="B16" s="35">
        <v>1</v>
      </c>
      <c r="C16" s="35" t="s">
        <v>56</v>
      </c>
      <c r="D16" s="35" t="s">
        <v>97</v>
      </c>
      <c r="E16" s="35" t="s">
        <v>98</v>
      </c>
      <c r="F16" s="35" t="s">
        <v>59</v>
      </c>
      <c r="G16" s="35" t="s">
        <v>60</v>
      </c>
      <c r="H16" s="38">
        <f t="shared" si="0"/>
        <v>0</v>
      </c>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7"/>
    </row>
    <row r="17" spans="1:34" ht="15.75" customHeight="1" x14ac:dyDescent="0.4">
      <c r="A17" s="9" t="s">
        <v>99</v>
      </c>
      <c r="B17" s="35">
        <v>1</v>
      </c>
      <c r="C17" s="35" t="s">
        <v>56</v>
      </c>
      <c r="D17" s="35" t="s">
        <v>100</v>
      </c>
      <c r="E17" s="35" t="s">
        <v>101</v>
      </c>
      <c r="F17" s="35" t="s">
        <v>59</v>
      </c>
      <c r="G17" s="35" t="s">
        <v>60</v>
      </c>
      <c r="H17" s="38">
        <f t="shared" si="0"/>
        <v>0</v>
      </c>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7"/>
    </row>
    <row r="18" spans="1:34" ht="15.75" customHeight="1" x14ac:dyDescent="0.4">
      <c r="A18" s="9" t="s">
        <v>102</v>
      </c>
      <c r="B18" s="35">
        <v>1</v>
      </c>
      <c r="C18" s="35" t="s">
        <v>56</v>
      </c>
      <c r="D18" s="35" t="s">
        <v>103</v>
      </c>
      <c r="E18" s="35" t="s">
        <v>104</v>
      </c>
      <c r="F18" s="35" t="s">
        <v>59</v>
      </c>
      <c r="G18" s="35" t="s">
        <v>60</v>
      </c>
      <c r="H18" s="38">
        <f t="shared" si="0"/>
        <v>0</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7"/>
    </row>
    <row r="19" spans="1:34" ht="15.75" customHeight="1" x14ac:dyDescent="0.4">
      <c r="A19" s="9" t="s">
        <v>105</v>
      </c>
      <c r="B19" s="35">
        <v>1</v>
      </c>
      <c r="C19" s="35" t="s">
        <v>56</v>
      </c>
      <c r="D19" s="35" t="s">
        <v>106</v>
      </c>
      <c r="E19" s="35" t="s">
        <v>107</v>
      </c>
      <c r="F19" s="35" t="s">
        <v>59</v>
      </c>
      <c r="G19" s="35" t="s">
        <v>60</v>
      </c>
      <c r="H19" s="38">
        <f t="shared" si="0"/>
        <v>0</v>
      </c>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7"/>
    </row>
    <row r="20" spans="1:34" ht="15.75" customHeight="1" x14ac:dyDescent="0.4">
      <c r="A20" s="9" t="s">
        <v>108</v>
      </c>
      <c r="B20" s="35">
        <v>1</v>
      </c>
      <c r="C20" s="35" t="s">
        <v>56</v>
      </c>
      <c r="D20" s="35" t="s">
        <v>109</v>
      </c>
      <c r="E20" s="35" t="s">
        <v>110</v>
      </c>
      <c r="F20" s="35" t="s">
        <v>59</v>
      </c>
      <c r="G20" s="35" t="s">
        <v>60</v>
      </c>
      <c r="H20" s="38">
        <f t="shared" si="0"/>
        <v>0</v>
      </c>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7"/>
    </row>
    <row r="21" spans="1:34" ht="15.75" customHeight="1" x14ac:dyDescent="0.4">
      <c r="A21" s="9" t="s">
        <v>111</v>
      </c>
      <c r="B21" s="35">
        <v>1</v>
      </c>
      <c r="C21" s="35" t="s">
        <v>56</v>
      </c>
      <c r="D21" s="35" t="s">
        <v>112</v>
      </c>
      <c r="E21" s="35" t="s">
        <v>113</v>
      </c>
      <c r="F21" s="35" t="s">
        <v>67</v>
      </c>
      <c r="G21" s="35" t="s">
        <v>60</v>
      </c>
      <c r="H21" s="38">
        <f t="shared" si="0"/>
        <v>0</v>
      </c>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7"/>
    </row>
    <row r="22" spans="1:34" ht="15.75" customHeight="1" x14ac:dyDescent="0.4">
      <c r="A22" s="9" t="s">
        <v>114</v>
      </c>
      <c r="B22" s="35">
        <v>1</v>
      </c>
      <c r="C22" s="35" t="s">
        <v>56</v>
      </c>
      <c r="D22" s="35" t="s">
        <v>115</v>
      </c>
      <c r="E22" s="35" t="s">
        <v>116</v>
      </c>
      <c r="F22" s="35" t="s">
        <v>74</v>
      </c>
      <c r="G22" s="35" t="s">
        <v>60</v>
      </c>
      <c r="H22" s="38">
        <f t="shared" si="0"/>
        <v>0</v>
      </c>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7"/>
    </row>
    <row r="23" spans="1:34" ht="15.75" customHeight="1" x14ac:dyDescent="0.4">
      <c r="A23" s="9" t="s">
        <v>117</v>
      </c>
      <c r="B23" s="35">
        <v>1</v>
      </c>
      <c r="C23" s="35" t="s">
        <v>56</v>
      </c>
      <c r="D23" s="35" t="s">
        <v>118</v>
      </c>
      <c r="E23" s="35" t="s">
        <v>119</v>
      </c>
      <c r="F23" s="35" t="s">
        <v>67</v>
      </c>
      <c r="G23" s="35" t="s">
        <v>60</v>
      </c>
      <c r="H23" s="38">
        <f t="shared" si="0"/>
        <v>0</v>
      </c>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7"/>
    </row>
    <row r="24" spans="1:34" ht="15.75" customHeight="1" x14ac:dyDescent="0.4">
      <c r="A24" s="9" t="s">
        <v>120</v>
      </c>
      <c r="B24" s="35">
        <v>1</v>
      </c>
      <c r="C24" s="35" t="s">
        <v>56</v>
      </c>
      <c r="D24" s="35" t="s">
        <v>121</v>
      </c>
      <c r="E24" s="35" t="s">
        <v>122</v>
      </c>
      <c r="F24" s="35" t="s">
        <v>59</v>
      </c>
      <c r="G24" s="35" t="s">
        <v>60</v>
      </c>
      <c r="H24" s="38">
        <f t="shared" si="0"/>
        <v>0</v>
      </c>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7"/>
    </row>
    <row r="25" spans="1:34" ht="15.75" customHeight="1" x14ac:dyDescent="0.4">
      <c r="A25" s="9" t="s">
        <v>123</v>
      </c>
      <c r="B25" s="35">
        <v>1</v>
      </c>
      <c r="C25" s="35" t="s">
        <v>56</v>
      </c>
      <c r="D25" s="35" t="s">
        <v>124</v>
      </c>
      <c r="E25" s="35" t="s">
        <v>125</v>
      </c>
      <c r="F25" s="35" t="s">
        <v>74</v>
      </c>
      <c r="G25" s="35" t="s">
        <v>60</v>
      </c>
      <c r="H25" s="38">
        <f t="shared" si="0"/>
        <v>0</v>
      </c>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7"/>
    </row>
    <row r="26" spans="1:34" ht="15.75" customHeight="1" x14ac:dyDescent="0.4">
      <c r="A26" s="9" t="s">
        <v>81</v>
      </c>
      <c r="B26" s="35">
        <v>1</v>
      </c>
      <c r="C26" s="35" t="s">
        <v>56</v>
      </c>
      <c r="D26" s="35" t="s">
        <v>82</v>
      </c>
      <c r="E26" s="35" t="s">
        <v>83</v>
      </c>
      <c r="F26" s="35" t="s">
        <v>59</v>
      </c>
      <c r="G26" s="35" t="s">
        <v>60</v>
      </c>
      <c r="H26" s="38">
        <f t="shared" si="0"/>
        <v>0</v>
      </c>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7"/>
    </row>
    <row r="27" spans="1:34" ht="15.75" customHeight="1" x14ac:dyDescent="0.4">
      <c r="A27" s="9" t="s">
        <v>126</v>
      </c>
      <c r="B27" s="35">
        <v>1</v>
      </c>
      <c r="C27" s="35" t="s">
        <v>56</v>
      </c>
      <c r="D27" s="35" t="s">
        <v>127</v>
      </c>
      <c r="E27" s="35" t="s">
        <v>128</v>
      </c>
      <c r="F27" s="35" t="s">
        <v>59</v>
      </c>
      <c r="G27" s="35" t="s">
        <v>60</v>
      </c>
      <c r="H27" s="38">
        <f t="shared" si="0"/>
        <v>0</v>
      </c>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7"/>
    </row>
    <row r="28" spans="1:34" ht="15.75" customHeight="1" x14ac:dyDescent="0.4">
      <c r="A28" s="9" t="s">
        <v>71</v>
      </c>
      <c r="B28" s="35">
        <v>1</v>
      </c>
      <c r="C28" s="35" t="s">
        <v>56</v>
      </c>
      <c r="D28" s="35" t="s">
        <v>72</v>
      </c>
      <c r="E28" s="35" t="s">
        <v>73</v>
      </c>
      <c r="F28" s="35" t="s">
        <v>74</v>
      </c>
      <c r="G28" s="35" t="s">
        <v>60</v>
      </c>
      <c r="H28" s="38">
        <f t="shared" si="0"/>
        <v>0</v>
      </c>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7"/>
    </row>
    <row r="29" spans="1:34" ht="15.75" customHeight="1" x14ac:dyDescent="0.4">
      <c r="A29" s="9" t="s">
        <v>129</v>
      </c>
      <c r="B29" s="35">
        <v>1</v>
      </c>
      <c r="C29" s="35" t="s">
        <v>56</v>
      </c>
      <c r="D29" s="35" t="s">
        <v>130</v>
      </c>
      <c r="E29" s="35" t="s">
        <v>131</v>
      </c>
      <c r="F29" s="35" t="s">
        <v>67</v>
      </c>
      <c r="G29" s="35" t="s">
        <v>60</v>
      </c>
      <c r="H29" s="38">
        <f t="shared" si="0"/>
        <v>0</v>
      </c>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7"/>
    </row>
    <row r="30" spans="1:34" ht="15.75" customHeight="1" x14ac:dyDescent="0.4">
      <c r="A30" s="9" t="s">
        <v>132</v>
      </c>
      <c r="B30" s="35">
        <v>1</v>
      </c>
      <c r="C30" s="35" t="s">
        <v>56</v>
      </c>
      <c r="D30" s="35" t="s">
        <v>133</v>
      </c>
      <c r="E30" s="35" t="s">
        <v>134</v>
      </c>
      <c r="F30" s="35" t="s">
        <v>67</v>
      </c>
      <c r="G30" s="35" t="s">
        <v>60</v>
      </c>
      <c r="H30" s="38">
        <f t="shared" si="0"/>
        <v>0</v>
      </c>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7"/>
    </row>
    <row r="31" spans="1:34" ht="15.75" customHeight="1" x14ac:dyDescent="0.4">
      <c r="A31" s="9" t="s">
        <v>135</v>
      </c>
      <c r="B31" s="35">
        <v>1</v>
      </c>
      <c r="C31" s="35" t="s">
        <v>56</v>
      </c>
      <c r="D31" s="35" t="s">
        <v>136</v>
      </c>
      <c r="E31" s="35" t="s">
        <v>137</v>
      </c>
      <c r="F31" s="35" t="s">
        <v>67</v>
      </c>
      <c r="G31" s="35" t="s">
        <v>60</v>
      </c>
      <c r="H31" s="38">
        <f t="shared" si="0"/>
        <v>0</v>
      </c>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7"/>
    </row>
    <row r="32" spans="1:34" ht="15.75" customHeight="1" x14ac:dyDescent="0.4">
      <c r="A32" s="9" t="s">
        <v>138</v>
      </c>
      <c r="B32" s="35">
        <v>1</v>
      </c>
      <c r="C32" s="35" t="s">
        <v>56</v>
      </c>
      <c r="D32" s="35" t="s">
        <v>139</v>
      </c>
      <c r="E32" s="35" t="s">
        <v>140</v>
      </c>
      <c r="F32" s="35" t="s">
        <v>59</v>
      </c>
      <c r="G32" s="35" t="s">
        <v>60</v>
      </c>
      <c r="H32" s="38">
        <f t="shared" si="0"/>
        <v>0</v>
      </c>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7"/>
    </row>
    <row r="33" spans="1:37" ht="15.75" customHeight="1" x14ac:dyDescent="0.4">
      <c r="A33" s="9" t="s">
        <v>71</v>
      </c>
      <c r="B33" s="35">
        <v>1</v>
      </c>
      <c r="C33" s="35" t="s">
        <v>56</v>
      </c>
      <c r="D33" s="35" t="s">
        <v>72</v>
      </c>
      <c r="E33" s="35" t="s">
        <v>73</v>
      </c>
      <c r="F33" s="35" t="s">
        <v>74</v>
      </c>
      <c r="G33" s="35" t="s">
        <v>60</v>
      </c>
      <c r="H33" s="39">
        <f t="shared" si="0"/>
        <v>0</v>
      </c>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7"/>
      <c r="AI33" s="40"/>
      <c r="AJ33" s="40"/>
      <c r="AK33" s="40"/>
    </row>
    <row r="34" spans="1:37" ht="15.75" customHeight="1" x14ac:dyDescent="0.4">
      <c r="A34" s="9" t="s">
        <v>105</v>
      </c>
      <c r="B34" s="35">
        <v>1</v>
      </c>
      <c r="C34" s="35" t="s">
        <v>56</v>
      </c>
      <c r="D34" s="35" t="s">
        <v>106</v>
      </c>
      <c r="E34" s="35" t="s">
        <v>107</v>
      </c>
      <c r="F34" s="35" t="s">
        <v>59</v>
      </c>
      <c r="G34" s="35" t="s">
        <v>60</v>
      </c>
      <c r="H34" s="38">
        <f t="shared" si="0"/>
        <v>0</v>
      </c>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7"/>
    </row>
    <row r="35" spans="1:37" s="40" customFormat="1" ht="15.75" customHeight="1" x14ac:dyDescent="0.4">
      <c r="A35" s="9" t="s">
        <v>102</v>
      </c>
      <c r="B35" s="35">
        <v>1</v>
      </c>
      <c r="C35" s="35" t="s">
        <v>56</v>
      </c>
      <c r="D35" s="35" t="s">
        <v>103</v>
      </c>
      <c r="E35" s="35" t="s">
        <v>104</v>
      </c>
      <c r="F35" s="35" t="s">
        <v>59</v>
      </c>
      <c r="G35" s="35" t="s">
        <v>60</v>
      </c>
      <c r="H35" s="38">
        <f t="shared" si="0"/>
        <v>0</v>
      </c>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7"/>
    </row>
    <row r="36" spans="1:37" ht="15.75" customHeight="1" x14ac:dyDescent="0.4">
      <c r="A36" s="9" t="s">
        <v>61</v>
      </c>
      <c r="B36" s="35">
        <v>1</v>
      </c>
      <c r="C36" s="35" t="s">
        <v>56</v>
      </c>
      <c r="D36" s="35" t="s">
        <v>62</v>
      </c>
      <c r="E36" s="35" t="s">
        <v>63</v>
      </c>
      <c r="F36" s="35" t="s">
        <v>59</v>
      </c>
      <c r="G36" s="35" t="s">
        <v>60</v>
      </c>
      <c r="H36" s="38">
        <f t="shared" ref="H36:H67" si="1">IFERROR(INDEX(I36:AH36,MATCH($H$3,$I$3:$AH$3,0)),"")</f>
        <v>0</v>
      </c>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7"/>
    </row>
    <row r="37" spans="1:37" ht="15.75" customHeight="1" x14ac:dyDescent="0.4">
      <c r="A37" s="9" t="s">
        <v>141</v>
      </c>
      <c r="B37" s="35">
        <v>1</v>
      </c>
      <c r="C37" s="35" t="s">
        <v>56</v>
      </c>
      <c r="D37" s="35" t="s">
        <v>142</v>
      </c>
      <c r="E37" s="35" t="s">
        <v>143</v>
      </c>
      <c r="F37" s="35" t="s">
        <v>59</v>
      </c>
      <c r="G37" s="35" t="s">
        <v>60</v>
      </c>
      <c r="H37" s="38">
        <f t="shared" si="1"/>
        <v>0</v>
      </c>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7"/>
    </row>
    <row r="38" spans="1:37" ht="15.75" customHeight="1" x14ac:dyDescent="0.4">
      <c r="A38" s="9" t="s">
        <v>144</v>
      </c>
      <c r="B38" s="35">
        <v>1</v>
      </c>
      <c r="C38" s="35" t="s">
        <v>56</v>
      </c>
      <c r="D38" s="35" t="s">
        <v>145</v>
      </c>
      <c r="E38" s="35" t="s">
        <v>146</v>
      </c>
      <c r="F38" s="35" t="s">
        <v>59</v>
      </c>
      <c r="G38" s="35" t="s">
        <v>60</v>
      </c>
      <c r="H38" s="38">
        <f t="shared" si="1"/>
        <v>0</v>
      </c>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7"/>
    </row>
    <row r="39" spans="1:37" ht="15.75" customHeight="1" x14ac:dyDescent="0.4">
      <c r="A39" s="9" t="s">
        <v>147</v>
      </c>
      <c r="B39" s="35">
        <v>1</v>
      </c>
      <c r="C39" s="35" t="s">
        <v>56</v>
      </c>
      <c r="D39" s="35" t="s">
        <v>115</v>
      </c>
      <c r="E39" s="35" t="s">
        <v>148</v>
      </c>
      <c r="F39" s="35" t="s">
        <v>59</v>
      </c>
      <c r="G39" s="35" t="s">
        <v>60</v>
      </c>
      <c r="H39" s="38">
        <f t="shared" si="1"/>
        <v>0</v>
      </c>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7"/>
    </row>
    <row r="40" spans="1:37" ht="15.75" customHeight="1" x14ac:dyDescent="0.4">
      <c r="A40" s="9" t="s">
        <v>149</v>
      </c>
      <c r="B40" s="35">
        <v>1</v>
      </c>
      <c r="C40" s="35" t="s">
        <v>56</v>
      </c>
      <c r="D40" s="35" t="s">
        <v>130</v>
      </c>
      <c r="E40" s="35" t="s">
        <v>150</v>
      </c>
      <c r="F40" s="35" t="s">
        <v>59</v>
      </c>
      <c r="G40" s="35" t="s">
        <v>60</v>
      </c>
      <c r="H40" s="38">
        <f t="shared" si="1"/>
        <v>0</v>
      </c>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7"/>
    </row>
    <row r="41" spans="1:37" ht="15.75" customHeight="1" x14ac:dyDescent="0.4">
      <c r="A41" s="9" t="s">
        <v>151</v>
      </c>
      <c r="B41" s="35">
        <v>1</v>
      </c>
      <c r="C41" s="35" t="s">
        <v>56</v>
      </c>
      <c r="D41" s="35" t="s">
        <v>152</v>
      </c>
      <c r="E41" s="35" t="s">
        <v>153</v>
      </c>
      <c r="F41" s="35" t="s">
        <v>59</v>
      </c>
      <c r="G41" s="35" t="s">
        <v>60</v>
      </c>
      <c r="H41" s="38">
        <f t="shared" si="1"/>
        <v>0</v>
      </c>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7"/>
    </row>
    <row r="42" spans="1:37" ht="15.75" customHeight="1" x14ac:dyDescent="0.4">
      <c r="A42" s="9" t="s">
        <v>55</v>
      </c>
      <c r="B42" s="35">
        <v>1</v>
      </c>
      <c r="C42" s="35" t="s">
        <v>56</v>
      </c>
      <c r="D42" s="35" t="s">
        <v>57</v>
      </c>
      <c r="E42" s="35" t="s">
        <v>58</v>
      </c>
      <c r="F42" s="35" t="s">
        <v>59</v>
      </c>
      <c r="G42" s="35" t="s">
        <v>60</v>
      </c>
      <c r="H42" s="38">
        <f t="shared" si="1"/>
        <v>0</v>
      </c>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7"/>
    </row>
    <row r="43" spans="1:37" ht="15.75" customHeight="1" x14ac:dyDescent="0.4">
      <c r="A43" s="9" t="s">
        <v>154</v>
      </c>
      <c r="B43" s="35">
        <v>1</v>
      </c>
      <c r="C43" s="35" t="s">
        <v>56</v>
      </c>
      <c r="D43" s="35" t="s">
        <v>109</v>
      </c>
      <c r="E43" s="35" t="s">
        <v>155</v>
      </c>
      <c r="F43" s="35" t="s">
        <v>59</v>
      </c>
      <c r="G43" s="35" t="s">
        <v>60</v>
      </c>
      <c r="H43" s="38">
        <f t="shared" si="1"/>
        <v>0</v>
      </c>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7"/>
    </row>
    <row r="44" spans="1:37" ht="15.75" customHeight="1" x14ac:dyDescent="0.4">
      <c r="A44" s="9" t="s">
        <v>156</v>
      </c>
      <c r="B44" s="35">
        <v>1</v>
      </c>
      <c r="C44" s="35" t="s">
        <v>56</v>
      </c>
      <c r="D44" s="35" t="s">
        <v>142</v>
      </c>
      <c r="E44" s="35" t="s">
        <v>157</v>
      </c>
      <c r="F44" s="35" t="s">
        <v>59</v>
      </c>
      <c r="G44" s="35" t="s">
        <v>158</v>
      </c>
      <c r="H44" s="38">
        <f t="shared" si="1"/>
        <v>0</v>
      </c>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7"/>
    </row>
    <row r="45" spans="1:37" ht="15.75" customHeight="1" x14ac:dyDescent="0.4">
      <c r="A45" s="9" t="str">
        <f>D45</f>
        <v xml:space="preserve">CPME </v>
      </c>
      <c r="B45" s="35">
        <v>1</v>
      </c>
      <c r="C45" s="35" t="s">
        <v>56</v>
      </c>
      <c r="D45" s="35" t="s">
        <v>159</v>
      </c>
      <c r="E45" s="35" t="s">
        <v>160</v>
      </c>
      <c r="F45" s="35" t="s">
        <v>160</v>
      </c>
      <c r="G45" s="35" t="s">
        <v>161</v>
      </c>
      <c r="H45" s="38">
        <f t="shared" si="1"/>
        <v>0</v>
      </c>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7"/>
    </row>
    <row r="46" spans="1:37" ht="15.75" customHeight="1" x14ac:dyDescent="0.4">
      <c r="A46" s="9" t="str">
        <f>D46</f>
        <v>2-Methyl THF</v>
      </c>
      <c r="B46" s="35">
        <v>1</v>
      </c>
      <c r="C46" s="35" t="s">
        <v>56</v>
      </c>
      <c r="D46" s="35" t="s">
        <v>162</v>
      </c>
      <c r="E46" s="35" t="s">
        <v>160</v>
      </c>
      <c r="F46" s="35" t="s">
        <v>160</v>
      </c>
      <c r="G46" s="35" t="s">
        <v>161</v>
      </c>
      <c r="H46" s="38">
        <f t="shared" si="1"/>
        <v>0</v>
      </c>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7"/>
    </row>
    <row r="47" spans="1:37" ht="15.75" customHeight="1" x14ac:dyDescent="0.4">
      <c r="A47" s="9" t="s">
        <v>163</v>
      </c>
      <c r="B47" s="35">
        <v>1</v>
      </c>
      <c r="C47" s="35" t="s">
        <v>56</v>
      </c>
      <c r="D47" s="35" t="s">
        <v>164</v>
      </c>
      <c r="E47" s="35" t="s">
        <v>165</v>
      </c>
      <c r="F47" s="35" t="s">
        <v>74</v>
      </c>
      <c r="G47" s="35" t="s">
        <v>158</v>
      </c>
      <c r="H47" s="38">
        <f t="shared" si="1"/>
        <v>0</v>
      </c>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7"/>
    </row>
    <row r="48" spans="1:37" ht="15.75" customHeight="1" x14ac:dyDescent="0.4">
      <c r="A48" s="9" t="s">
        <v>166</v>
      </c>
      <c r="B48" s="35">
        <v>1</v>
      </c>
      <c r="C48" s="35" t="s">
        <v>56</v>
      </c>
      <c r="D48" s="35" t="s">
        <v>167</v>
      </c>
      <c r="E48" s="35" t="s">
        <v>168</v>
      </c>
      <c r="F48" s="35" t="s">
        <v>59</v>
      </c>
      <c r="G48" s="35" t="s">
        <v>60</v>
      </c>
      <c r="H48" s="38">
        <f t="shared" si="1"/>
        <v>0</v>
      </c>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7"/>
    </row>
    <row r="49" spans="1:34" ht="15.75" customHeight="1" x14ac:dyDescent="0.4">
      <c r="A49" s="9" t="s">
        <v>169</v>
      </c>
      <c r="B49" s="35">
        <v>1</v>
      </c>
      <c r="C49" s="35" t="s">
        <v>56</v>
      </c>
      <c r="D49" s="35" t="s">
        <v>112</v>
      </c>
      <c r="E49" s="35" t="s">
        <v>170</v>
      </c>
      <c r="F49" s="35" t="s">
        <v>67</v>
      </c>
      <c r="G49" s="35" t="s">
        <v>60</v>
      </c>
      <c r="H49" s="38">
        <f t="shared" si="1"/>
        <v>0</v>
      </c>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7"/>
    </row>
    <row r="50" spans="1:34" ht="15.75" customHeight="1" x14ac:dyDescent="0.4">
      <c r="A50" s="9" t="s">
        <v>117</v>
      </c>
      <c r="B50" s="35">
        <v>1</v>
      </c>
      <c r="C50" s="35" t="s">
        <v>56</v>
      </c>
      <c r="D50" s="35" t="s">
        <v>118</v>
      </c>
      <c r="E50" s="35" t="s">
        <v>119</v>
      </c>
      <c r="F50" s="35" t="s">
        <v>67</v>
      </c>
      <c r="G50" s="35" t="s">
        <v>60</v>
      </c>
      <c r="H50" s="38">
        <f t="shared" si="1"/>
        <v>0</v>
      </c>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7"/>
    </row>
    <row r="51" spans="1:34" ht="15.75" customHeight="1" x14ac:dyDescent="0.4">
      <c r="A51" s="9" t="s">
        <v>120</v>
      </c>
      <c r="B51" s="35">
        <v>1</v>
      </c>
      <c r="C51" s="35" t="s">
        <v>56</v>
      </c>
      <c r="D51" s="35" t="s">
        <v>121</v>
      </c>
      <c r="E51" s="35" t="s">
        <v>122</v>
      </c>
      <c r="F51" s="35" t="s">
        <v>59</v>
      </c>
      <c r="G51" s="35" t="s">
        <v>60</v>
      </c>
      <c r="H51" s="38">
        <f t="shared" si="1"/>
        <v>0</v>
      </c>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7"/>
    </row>
    <row r="52" spans="1:34" ht="15.75" customHeight="1" x14ac:dyDescent="0.4">
      <c r="A52" s="9" t="s">
        <v>123</v>
      </c>
      <c r="B52" s="35">
        <v>1</v>
      </c>
      <c r="C52" s="35" t="s">
        <v>56</v>
      </c>
      <c r="D52" s="35" t="s">
        <v>124</v>
      </c>
      <c r="E52" s="35" t="s">
        <v>125</v>
      </c>
      <c r="F52" s="35" t="s">
        <v>74</v>
      </c>
      <c r="G52" s="35" t="s">
        <v>60</v>
      </c>
      <c r="H52" s="38">
        <f t="shared" si="1"/>
        <v>0</v>
      </c>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7"/>
    </row>
    <row r="53" spans="1:34" ht="15.75" customHeight="1" x14ac:dyDescent="0.4">
      <c r="A53" s="9" t="s">
        <v>126</v>
      </c>
      <c r="B53" s="35">
        <v>1</v>
      </c>
      <c r="C53" s="35" t="s">
        <v>56</v>
      </c>
      <c r="D53" s="35" t="s">
        <v>127</v>
      </c>
      <c r="E53" s="35" t="s">
        <v>128</v>
      </c>
      <c r="F53" s="35" t="s">
        <v>59</v>
      </c>
      <c r="G53" s="35" t="s">
        <v>60</v>
      </c>
      <c r="H53" s="38">
        <f t="shared" si="1"/>
        <v>0</v>
      </c>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7"/>
    </row>
    <row r="54" spans="1:34" ht="15.75" customHeight="1" x14ac:dyDescent="0.4">
      <c r="A54" s="9" t="s">
        <v>171</v>
      </c>
      <c r="B54" s="35">
        <v>1</v>
      </c>
      <c r="C54" s="35" t="s">
        <v>56</v>
      </c>
      <c r="D54" s="35" t="s">
        <v>172</v>
      </c>
      <c r="E54" s="35" t="s">
        <v>173</v>
      </c>
      <c r="F54" s="35" t="s">
        <v>59</v>
      </c>
      <c r="G54" s="35" t="s">
        <v>60</v>
      </c>
      <c r="H54" s="38">
        <f t="shared" si="1"/>
        <v>0</v>
      </c>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7"/>
    </row>
    <row r="55" spans="1:34" ht="15.75" customHeight="1" x14ac:dyDescent="0.4">
      <c r="A55" s="9" t="s">
        <v>174</v>
      </c>
      <c r="B55" s="35">
        <v>1</v>
      </c>
      <c r="C55" s="35" t="s">
        <v>56</v>
      </c>
      <c r="D55" s="35" t="s">
        <v>175</v>
      </c>
      <c r="E55" s="35" t="s">
        <v>176</v>
      </c>
      <c r="F55" s="35" t="s">
        <v>59</v>
      </c>
      <c r="G55" s="35" t="s">
        <v>60</v>
      </c>
      <c r="H55" s="38">
        <f t="shared" si="1"/>
        <v>0</v>
      </c>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7"/>
    </row>
    <row r="56" spans="1:34" ht="15.75" customHeight="1" x14ac:dyDescent="0.4">
      <c r="A56" s="9" t="s">
        <v>177</v>
      </c>
      <c r="B56" s="35">
        <v>1</v>
      </c>
      <c r="C56" s="35" t="s">
        <v>56</v>
      </c>
      <c r="D56" s="35" t="s">
        <v>178</v>
      </c>
      <c r="E56" s="35" t="s">
        <v>179</v>
      </c>
      <c r="F56" s="35" t="s">
        <v>59</v>
      </c>
      <c r="G56" s="35" t="s">
        <v>60</v>
      </c>
      <c r="H56" s="38">
        <f t="shared" si="1"/>
        <v>0</v>
      </c>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7"/>
    </row>
    <row r="57" spans="1:34" ht="15.75" customHeight="1" x14ac:dyDescent="0.4">
      <c r="A57" s="9" t="s">
        <v>180</v>
      </c>
      <c r="B57" s="35">
        <v>1</v>
      </c>
      <c r="C57" s="35" t="s">
        <v>56</v>
      </c>
      <c r="D57" s="35" t="s">
        <v>181</v>
      </c>
      <c r="E57" s="35" t="s">
        <v>182</v>
      </c>
      <c r="F57" s="35" t="s">
        <v>59</v>
      </c>
      <c r="G57" s="35" t="s">
        <v>60</v>
      </c>
      <c r="H57" s="38">
        <f t="shared" si="1"/>
        <v>0</v>
      </c>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7"/>
    </row>
    <row r="58" spans="1:34" ht="15.75" customHeight="1" x14ac:dyDescent="0.4">
      <c r="A58" s="9" t="s">
        <v>183</v>
      </c>
      <c r="B58" s="35">
        <v>1</v>
      </c>
      <c r="C58" s="35" t="s">
        <v>56</v>
      </c>
      <c r="D58" s="35" t="s">
        <v>184</v>
      </c>
      <c r="E58" s="35" t="s">
        <v>185</v>
      </c>
      <c r="F58" s="35" t="s">
        <v>59</v>
      </c>
      <c r="G58" s="35" t="s">
        <v>60</v>
      </c>
      <c r="H58" s="38">
        <f t="shared" si="1"/>
        <v>0</v>
      </c>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7"/>
    </row>
    <row r="59" spans="1:34" ht="15.75" customHeight="1" x14ac:dyDescent="0.4">
      <c r="A59" s="9" t="s">
        <v>186</v>
      </c>
      <c r="B59" s="35">
        <v>1</v>
      </c>
      <c r="C59" s="35" t="s">
        <v>56</v>
      </c>
      <c r="D59" s="35" t="s">
        <v>187</v>
      </c>
      <c r="E59" s="35" t="s">
        <v>188</v>
      </c>
      <c r="F59" s="35" t="s">
        <v>59</v>
      </c>
      <c r="G59" s="35" t="s">
        <v>60</v>
      </c>
      <c r="H59" s="38">
        <f t="shared" si="1"/>
        <v>0</v>
      </c>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7"/>
    </row>
    <row r="60" spans="1:34" ht="15.75" customHeight="1" x14ac:dyDescent="0.4">
      <c r="A60" s="9" t="s">
        <v>81</v>
      </c>
      <c r="B60" s="35">
        <v>1</v>
      </c>
      <c r="C60" s="35" t="s">
        <v>56</v>
      </c>
      <c r="D60" s="35" t="s">
        <v>82</v>
      </c>
      <c r="E60" s="35" t="s">
        <v>83</v>
      </c>
      <c r="F60" s="35" t="s">
        <v>59</v>
      </c>
      <c r="G60" s="35" t="s">
        <v>60</v>
      </c>
      <c r="H60" s="38">
        <f t="shared" si="1"/>
        <v>0</v>
      </c>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7"/>
    </row>
    <row r="61" spans="1:34" ht="15.75" customHeight="1" x14ac:dyDescent="0.4">
      <c r="A61" s="9" t="s">
        <v>189</v>
      </c>
      <c r="B61" s="35">
        <v>1</v>
      </c>
      <c r="C61" s="35" t="s">
        <v>56</v>
      </c>
      <c r="D61" s="35" t="s">
        <v>100</v>
      </c>
      <c r="E61" s="35" t="s">
        <v>190</v>
      </c>
      <c r="F61" s="35" t="s">
        <v>59</v>
      </c>
      <c r="G61" s="35" t="s">
        <v>60</v>
      </c>
      <c r="H61" s="38">
        <f t="shared" si="1"/>
        <v>0</v>
      </c>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7"/>
    </row>
    <row r="62" spans="1:34" ht="15.75" customHeight="1" x14ac:dyDescent="0.4">
      <c r="A62" s="9" t="s">
        <v>191</v>
      </c>
      <c r="B62" s="35">
        <v>1</v>
      </c>
      <c r="C62" s="35" t="s">
        <v>56</v>
      </c>
      <c r="D62" s="35" t="s">
        <v>192</v>
      </c>
      <c r="E62" s="35" t="s">
        <v>193</v>
      </c>
      <c r="F62" s="35" t="s">
        <v>59</v>
      </c>
      <c r="G62" s="35" t="s">
        <v>60</v>
      </c>
      <c r="H62" s="38">
        <f t="shared" si="1"/>
        <v>0</v>
      </c>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7"/>
    </row>
    <row r="63" spans="1:34" ht="15.75" customHeight="1" x14ac:dyDescent="0.4">
      <c r="A63" s="9" t="s">
        <v>194</v>
      </c>
      <c r="B63" s="35">
        <v>1</v>
      </c>
      <c r="C63" s="35" t="s">
        <v>56</v>
      </c>
      <c r="D63" s="35" t="s">
        <v>195</v>
      </c>
      <c r="E63" s="35" t="s">
        <v>196</v>
      </c>
      <c r="F63" s="35" t="s">
        <v>59</v>
      </c>
      <c r="G63" s="35" t="s">
        <v>60</v>
      </c>
      <c r="H63" s="38">
        <f t="shared" si="1"/>
        <v>0</v>
      </c>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7"/>
    </row>
    <row r="64" spans="1:34" ht="15.75" customHeight="1" x14ac:dyDescent="0.4">
      <c r="A64" s="9" t="s">
        <v>197</v>
      </c>
      <c r="B64" s="35">
        <v>1</v>
      </c>
      <c r="C64" s="35" t="s">
        <v>56</v>
      </c>
      <c r="D64" s="35" t="s">
        <v>198</v>
      </c>
      <c r="E64" s="35" t="s">
        <v>199</v>
      </c>
      <c r="F64" s="35" t="s">
        <v>59</v>
      </c>
      <c r="G64" s="35" t="s">
        <v>60</v>
      </c>
      <c r="H64" s="38">
        <f t="shared" si="1"/>
        <v>0</v>
      </c>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7"/>
    </row>
    <row r="65" spans="1:34" ht="15.75" customHeight="1" x14ac:dyDescent="0.4">
      <c r="A65" s="9" t="s">
        <v>200</v>
      </c>
      <c r="B65" s="35">
        <v>1</v>
      </c>
      <c r="C65" s="35" t="s">
        <v>56</v>
      </c>
      <c r="D65" s="35" t="s">
        <v>201</v>
      </c>
      <c r="E65" s="35" t="s">
        <v>202</v>
      </c>
      <c r="F65" s="35" t="s">
        <v>59</v>
      </c>
      <c r="G65" s="35" t="s">
        <v>60</v>
      </c>
      <c r="H65" s="38">
        <f t="shared" si="1"/>
        <v>0</v>
      </c>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7"/>
    </row>
    <row r="66" spans="1:34" ht="15.75" customHeight="1" x14ac:dyDescent="0.4">
      <c r="A66" s="9" t="s">
        <v>203</v>
      </c>
      <c r="B66" s="35">
        <v>1</v>
      </c>
      <c r="C66" s="35" t="s">
        <v>56</v>
      </c>
      <c r="D66" s="35" t="s">
        <v>204</v>
      </c>
      <c r="E66" s="35" t="s">
        <v>205</v>
      </c>
      <c r="F66" s="35" t="s">
        <v>59</v>
      </c>
      <c r="G66" s="35" t="s">
        <v>60</v>
      </c>
      <c r="H66" s="38">
        <f t="shared" si="1"/>
        <v>0</v>
      </c>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7"/>
    </row>
    <row r="67" spans="1:34" ht="15.75" customHeight="1" x14ac:dyDescent="0.4">
      <c r="A67" s="9" t="str">
        <f>D67</f>
        <v>thionyl chloride</v>
      </c>
      <c r="B67" s="35">
        <v>1</v>
      </c>
      <c r="C67" s="35" t="s">
        <v>56</v>
      </c>
      <c r="D67" s="35" t="s">
        <v>206</v>
      </c>
      <c r="E67" s="35" t="s">
        <v>207</v>
      </c>
      <c r="F67" s="35" t="s">
        <v>59</v>
      </c>
      <c r="G67" s="35" t="s">
        <v>208</v>
      </c>
      <c r="H67" s="38">
        <f t="shared" si="1"/>
        <v>0</v>
      </c>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7"/>
    </row>
    <row r="68" spans="1:34" ht="15.75" customHeight="1" x14ac:dyDescent="0.4">
      <c r="A68" s="9" t="str">
        <f>D68</f>
        <v>lithium aluminium hydride</v>
      </c>
      <c r="B68" s="35">
        <v>1</v>
      </c>
      <c r="C68" s="35" t="s">
        <v>56</v>
      </c>
      <c r="D68" s="35" t="s">
        <v>209</v>
      </c>
      <c r="E68" s="35" t="s">
        <v>210</v>
      </c>
      <c r="F68" s="35" t="s">
        <v>67</v>
      </c>
      <c r="G68" s="35" t="s">
        <v>211</v>
      </c>
      <c r="H68" s="38">
        <f t="shared" ref="H68:H99" si="2">IFERROR(INDEX(I68:AH68,MATCH($H$3,$I$3:$AH$3,0)),"")</f>
        <v>0</v>
      </c>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7"/>
    </row>
    <row r="69" spans="1:34" ht="15.75" customHeight="1" x14ac:dyDescent="0.4">
      <c r="A69" s="9" t="s">
        <v>212</v>
      </c>
      <c r="B69" s="35">
        <v>1</v>
      </c>
      <c r="C69" s="35" t="s">
        <v>56</v>
      </c>
      <c r="D69" s="35" t="s">
        <v>213</v>
      </c>
      <c r="E69" s="35" t="s">
        <v>214</v>
      </c>
      <c r="F69" s="35" t="s">
        <v>59</v>
      </c>
      <c r="G69" s="35" t="s">
        <v>60</v>
      </c>
      <c r="H69" s="38">
        <f t="shared" si="2"/>
        <v>0</v>
      </c>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7"/>
    </row>
    <row r="70" spans="1:34" ht="15.75" customHeight="1" x14ac:dyDescent="0.4">
      <c r="A70" s="9" t="s">
        <v>215</v>
      </c>
      <c r="B70" s="35">
        <v>1</v>
      </c>
      <c r="C70" s="35" t="s">
        <v>56</v>
      </c>
      <c r="D70" s="35" t="s">
        <v>216</v>
      </c>
      <c r="E70" s="35" t="s">
        <v>217</v>
      </c>
      <c r="F70" s="35" t="s">
        <v>67</v>
      </c>
      <c r="G70" s="35" t="s">
        <v>60</v>
      </c>
      <c r="H70" s="38">
        <f t="shared" si="2"/>
        <v>0</v>
      </c>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7"/>
    </row>
    <row r="71" spans="1:34" ht="15.75" customHeight="1" x14ac:dyDescent="0.4">
      <c r="A71" s="9" t="s">
        <v>218</v>
      </c>
      <c r="B71" s="35">
        <v>1</v>
      </c>
      <c r="C71" s="35" t="s">
        <v>56</v>
      </c>
      <c r="D71" s="35" t="s">
        <v>219</v>
      </c>
      <c r="E71" s="35" t="s">
        <v>220</v>
      </c>
      <c r="F71" s="35" t="s">
        <v>67</v>
      </c>
      <c r="G71" s="35" t="s">
        <v>60</v>
      </c>
      <c r="H71" s="38">
        <f t="shared" si="2"/>
        <v>0</v>
      </c>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7"/>
    </row>
    <row r="72" spans="1:34" ht="15.75" customHeight="1" x14ac:dyDescent="0.4">
      <c r="A72" s="9" t="s">
        <v>221</v>
      </c>
      <c r="B72" s="35">
        <v>1</v>
      </c>
      <c r="C72" s="35" t="s">
        <v>56</v>
      </c>
      <c r="D72" s="35" t="s">
        <v>222</v>
      </c>
      <c r="E72" s="35" t="s">
        <v>223</v>
      </c>
      <c r="F72" s="35" t="s">
        <v>59</v>
      </c>
      <c r="G72" s="35" t="s">
        <v>60</v>
      </c>
      <c r="H72" s="38">
        <f t="shared" si="2"/>
        <v>0</v>
      </c>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7"/>
    </row>
    <row r="73" spans="1:34" ht="15.75" customHeight="1" x14ac:dyDescent="0.4">
      <c r="A73" s="9" t="s">
        <v>224</v>
      </c>
      <c r="B73" s="35">
        <v>1</v>
      </c>
      <c r="C73" s="35" t="s">
        <v>56</v>
      </c>
      <c r="D73" s="35" t="s">
        <v>225</v>
      </c>
      <c r="E73" s="35" t="s">
        <v>226</v>
      </c>
      <c r="F73" s="35" t="s">
        <v>67</v>
      </c>
      <c r="G73" s="35" t="s">
        <v>60</v>
      </c>
      <c r="H73" s="38">
        <f t="shared" si="2"/>
        <v>0</v>
      </c>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7"/>
    </row>
    <row r="74" spans="1:34" ht="15.75" customHeight="1" x14ac:dyDescent="0.4">
      <c r="A74" s="9" t="s">
        <v>227</v>
      </c>
      <c r="B74" s="35">
        <v>1</v>
      </c>
      <c r="C74" s="35" t="s">
        <v>56</v>
      </c>
      <c r="D74" s="35" t="s">
        <v>228</v>
      </c>
      <c r="E74" s="35" t="s">
        <v>229</v>
      </c>
      <c r="F74" s="35" t="s">
        <v>67</v>
      </c>
      <c r="G74" s="35" t="s">
        <v>60</v>
      </c>
      <c r="H74" s="38">
        <f t="shared" si="2"/>
        <v>0</v>
      </c>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7"/>
    </row>
    <row r="75" spans="1:34" ht="15.75" customHeight="1" x14ac:dyDescent="0.4">
      <c r="A75" s="9" t="s">
        <v>230</v>
      </c>
      <c r="B75" s="35">
        <v>1</v>
      </c>
      <c r="C75" s="35" t="s">
        <v>56</v>
      </c>
      <c r="D75" s="35" t="s">
        <v>231</v>
      </c>
      <c r="E75" s="35" t="s">
        <v>232</v>
      </c>
      <c r="F75" s="35" t="s">
        <v>59</v>
      </c>
      <c r="G75" s="35" t="s">
        <v>60</v>
      </c>
      <c r="H75" s="38">
        <f t="shared" si="2"/>
        <v>0</v>
      </c>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7"/>
    </row>
    <row r="76" spans="1:34" ht="15.75" customHeight="1" x14ac:dyDescent="0.4">
      <c r="A76" s="9" t="s">
        <v>233</v>
      </c>
      <c r="B76" s="35">
        <v>1</v>
      </c>
      <c r="C76" s="35" t="s">
        <v>56</v>
      </c>
      <c r="D76" s="35" t="s">
        <v>139</v>
      </c>
      <c r="E76" s="35" t="s">
        <v>234</v>
      </c>
      <c r="F76" s="35" t="s">
        <v>59</v>
      </c>
      <c r="G76" s="35" t="s">
        <v>60</v>
      </c>
      <c r="H76" s="38">
        <f t="shared" si="2"/>
        <v>0</v>
      </c>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7"/>
    </row>
    <row r="77" spans="1:34" ht="15.75" customHeight="1" x14ac:dyDescent="0.4">
      <c r="A77" s="9" t="s">
        <v>235</v>
      </c>
      <c r="B77" s="35">
        <v>1</v>
      </c>
      <c r="C77" s="35" t="s">
        <v>56</v>
      </c>
      <c r="D77" s="35" t="s">
        <v>142</v>
      </c>
      <c r="E77" s="35" t="s">
        <v>236</v>
      </c>
      <c r="F77" s="35" t="s">
        <v>67</v>
      </c>
      <c r="G77" s="35" t="s">
        <v>60</v>
      </c>
      <c r="H77" s="38">
        <f t="shared" si="2"/>
        <v>0</v>
      </c>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7"/>
    </row>
    <row r="78" spans="1:34" ht="15.75" customHeight="1" x14ac:dyDescent="0.4">
      <c r="A78" s="9" t="s">
        <v>237</v>
      </c>
      <c r="B78" s="35">
        <v>1</v>
      </c>
      <c r="C78" s="35" t="s">
        <v>56</v>
      </c>
      <c r="D78" s="35" t="s">
        <v>106</v>
      </c>
      <c r="E78" s="35" t="s">
        <v>238</v>
      </c>
      <c r="F78" s="35" t="s">
        <v>67</v>
      </c>
      <c r="G78" s="35" t="s">
        <v>60</v>
      </c>
      <c r="H78" s="38">
        <f t="shared" si="2"/>
        <v>0</v>
      </c>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7"/>
    </row>
    <row r="79" spans="1:34" ht="15.75" customHeight="1" x14ac:dyDescent="0.4">
      <c r="A79" s="9" t="s">
        <v>239</v>
      </c>
      <c r="B79" s="35">
        <v>1</v>
      </c>
      <c r="C79" s="35" t="s">
        <v>56</v>
      </c>
      <c r="D79" s="35" t="s">
        <v>240</v>
      </c>
      <c r="E79" s="35" t="s">
        <v>241</v>
      </c>
      <c r="F79" s="35" t="s">
        <v>59</v>
      </c>
      <c r="G79" s="35" t="s">
        <v>60</v>
      </c>
      <c r="H79" s="38">
        <f t="shared" si="2"/>
        <v>0</v>
      </c>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7"/>
    </row>
    <row r="80" spans="1:34" ht="15.75" customHeight="1" x14ac:dyDescent="0.4">
      <c r="A80" s="9" t="s">
        <v>242</v>
      </c>
      <c r="B80" s="35">
        <v>1</v>
      </c>
      <c r="C80" s="35" t="s">
        <v>56</v>
      </c>
      <c r="D80" s="35" t="s">
        <v>72</v>
      </c>
      <c r="E80" s="35" t="s">
        <v>73</v>
      </c>
      <c r="F80" s="35" t="s">
        <v>59</v>
      </c>
      <c r="G80" s="35" t="s">
        <v>60</v>
      </c>
      <c r="H80" s="38">
        <f t="shared" si="2"/>
        <v>0</v>
      </c>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7"/>
    </row>
    <row r="81" spans="1:34" ht="15.75" customHeight="1" x14ac:dyDescent="0.4">
      <c r="A81" s="9" t="s">
        <v>243</v>
      </c>
      <c r="B81" s="35">
        <v>1</v>
      </c>
      <c r="C81" s="35" t="s">
        <v>56</v>
      </c>
      <c r="D81" s="35" t="s">
        <v>244</v>
      </c>
      <c r="E81" s="35" t="s">
        <v>245</v>
      </c>
      <c r="F81" s="35" t="s">
        <v>67</v>
      </c>
      <c r="G81" s="35" t="s">
        <v>60</v>
      </c>
      <c r="H81" s="38">
        <f t="shared" si="2"/>
        <v>0</v>
      </c>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7"/>
    </row>
    <row r="82" spans="1:34" ht="15.75" customHeight="1" x14ac:dyDescent="0.4">
      <c r="A82" s="9" t="s">
        <v>246</v>
      </c>
      <c r="B82" s="35">
        <v>1</v>
      </c>
      <c r="C82" s="35" t="s">
        <v>56</v>
      </c>
      <c r="D82" s="35" t="s">
        <v>247</v>
      </c>
      <c r="E82" s="35" t="s">
        <v>248</v>
      </c>
      <c r="F82" s="35" t="s">
        <v>59</v>
      </c>
      <c r="G82" s="35" t="s">
        <v>60</v>
      </c>
      <c r="H82" s="38">
        <f t="shared" si="2"/>
        <v>0</v>
      </c>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7"/>
    </row>
    <row r="83" spans="1:34" ht="15.75" customHeight="1" x14ac:dyDescent="0.4">
      <c r="A83" s="9" t="s">
        <v>61</v>
      </c>
      <c r="B83" s="35">
        <v>1</v>
      </c>
      <c r="C83" s="35" t="s">
        <v>56</v>
      </c>
      <c r="D83" s="35" t="s">
        <v>62</v>
      </c>
      <c r="E83" s="35" t="s">
        <v>63</v>
      </c>
      <c r="F83" s="35" t="s">
        <v>59</v>
      </c>
      <c r="G83" s="35" t="s">
        <v>60</v>
      </c>
      <c r="H83" s="38">
        <f t="shared" si="2"/>
        <v>0</v>
      </c>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7"/>
    </row>
    <row r="84" spans="1:34" ht="15.75" customHeight="1" x14ac:dyDescent="0.4">
      <c r="A84" s="9" t="s">
        <v>249</v>
      </c>
      <c r="B84" s="35">
        <v>1</v>
      </c>
      <c r="C84" s="35" t="s">
        <v>56</v>
      </c>
      <c r="D84" s="35" t="s">
        <v>250</v>
      </c>
      <c r="E84" s="35" t="s">
        <v>251</v>
      </c>
      <c r="F84" s="35" t="s">
        <v>67</v>
      </c>
      <c r="G84" s="35" t="s">
        <v>60</v>
      </c>
      <c r="H84" s="38">
        <f t="shared" si="2"/>
        <v>0</v>
      </c>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7"/>
    </row>
    <row r="85" spans="1:34" ht="15.75" customHeight="1" x14ac:dyDescent="0.4">
      <c r="A85" s="9" t="s">
        <v>252</v>
      </c>
      <c r="B85" s="35">
        <v>1</v>
      </c>
      <c r="C85" s="35" t="s">
        <v>56</v>
      </c>
      <c r="D85" s="35" t="s">
        <v>121</v>
      </c>
      <c r="E85" s="35" t="s">
        <v>253</v>
      </c>
      <c r="F85" s="35" t="s">
        <v>59</v>
      </c>
      <c r="G85" s="35" t="s">
        <v>60</v>
      </c>
      <c r="H85" s="38">
        <f t="shared" si="2"/>
        <v>0</v>
      </c>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7"/>
    </row>
    <row r="86" spans="1:34" ht="15.75" customHeight="1" x14ac:dyDescent="0.4">
      <c r="A86" s="9" t="s">
        <v>254</v>
      </c>
      <c r="B86" s="35">
        <v>1</v>
      </c>
      <c r="C86" s="35" t="s">
        <v>56</v>
      </c>
      <c r="D86" s="35" t="s">
        <v>255</v>
      </c>
      <c r="E86" s="35" t="s">
        <v>256</v>
      </c>
      <c r="F86" s="35" t="s">
        <v>59</v>
      </c>
      <c r="G86" s="35" t="s">
        <v>60</v>
      </c>
      <c r="H86" s="38">
        <f t="shared" si="2"/>
        <v>0</v>
      </c>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7"/>
    </row>
    <row r="87" spans="1:34" ht="15.75" customHeight="1" x14ac:dyDescent="0.4">
      <c r="A87" s="9" t="s">
        <v>257</v>
      </c>
      <c r="B87" s="35">
        <v>1</v>
      </c>
      <c r="C87" s="35" t="s">
        <v>56</v>
      </c>
      <c r="D87" s="35" t="s">
        <v>258</v>
      </c>
      <c r="E87" s="35" t="s">
        <v>259</v>
      </c>
      <c r="F87" s="35" t="s">
        <v>59</v>
      </c>
      <c r="G87" s="35" t="s">
        <v>60</v>
      </c>
      <c r="H87" s="38">
        <f t="shared" si="2"/>
        <v>0</v>
      </c>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7"/>
    </row>
    <row r="88" spans="1:34" ht="15.75" customHeight="1" x14ac:dyDescent="0.4">
      <c r="A88" s="9" t="s">
        <v>260</v>
      </c>
      <c r="B88" s="35">
        <v>1</v>
      </c>
      <c r="C88" s="35" t="s">
        <v>56</v>
      </c>
      <c r="D88" s="35" t="s">
        <v>261</v>
      </c>
      <c r="E88" s="35" t="s">
        <v>262</v>
      </c>
      <c r="F88" s="35" t="s">
        <v>67</v>
      </c>
      <c r="G88" s="35" t="s">
        <v>60</v>
      </c>
      <c r="H88" s="38">
        <f t="shared" si="2"/>
        <v>0</v>
      </c>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7"/>
    </row>
    <row r="89" spans="1:34" ht="15.75" customHeight="1" x14ac:dyDescent="0.4">
      <c r="A89" s="9" t="s">
        <v>263</v>
      </c>
      <c r="B89" s="35">
        <v>1</v>
      </c>
      <c r="C89" s="35" t="s">
        <v>56</v>
      </c>
      <c r="D89" s="35" t="s">
        <v>264</v>
      </c>
      <c r="E89" s="35" t="s">
        <v>265</v>
      </c>
      <c r="F89" s="35" t="s">
        <v>67</v>
      </c>
      <c r="G89" s="35" t="s">
        <v>60</v>
      </c>
      <c r="H89" s="38">
        <f t="shared" si="2"/>
        <v>0</v>
      </c>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7"/>
    </row>
    <row r="90" spans="1:34" ht="15.75" customHeight="1" x14ac:dyDescent="0.4">
      <c r="A90" s="9" t="s">
        <v>266</v>
      </c>
      <c r="B90" s="35">
        <v>1</v>
      </c>
      <c r="C90" s="35" t="s">
        <v>56</v>
      </c>
      <c r="D90" s="35" t="s">
        <v>267</v>
      </c>
      <c r="E90" s="35" t="s">
        <v>268</v>
      </c>
      <c r="F90" s="35" t="s">
        <v>67</v>
      </c>
      <c r="G90" s="35" t="s">
        <v>60</v>
      </c>
      <c r="H90" s="38">
        <f t="shared" si="2"/>
        <v>0</v>
      </c>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7"/>
    </row>
    <row r="91" spans="1:34" ht="15.75" customHeight="1" x14ac:dyDescent="0.4">
      <c r="A91" s="9" t="s">
        <v>269</v>
      </c>
      <c r="B91" s="35">
        <v>1</v>
      </c>
      <c r="C91" s="35" t="s">
        <v>56</v>
      </c>
      <c r="D91" s="35" t="s">
        <v>270</v>
      </c>
      <c r="E91" s="35" t="s">
        <v>271</v>
      </c>
      <c r="F91" s="35" t="s">
        <v>67</v>
      </c>
      <c r="G91" s="35" t="s">
        <v>60</v>
      </c>
      <c r="H91" s="38">
        <f t="shared" si="2"/>
        <v>0</v>
      </c>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7"/>
    </row>
    <row r="92" spans="1:34" ht="15.75" customHeight="1" x14ac:dyDescent="0.4">
      <c r="A92" s="9" t="s">
        <v>272</v>
      </c>
      <c r="B92" s="35">
        <v>1</v>
      </c>
      <c r="C92" s="35" t="s">
        <v>56</v>
      </c>
      <c r="D92" s="35" t="s">
        <v>273</v>
      </c>
      <c r="E92" s="35" t="s">
        <v>274</v>
      </c>
      <c r="F92" s="35" t="s">
        <v>59</v>
      </c>
      <c r="G92" s="35" t="s">
        <v>60</v>
      </c>
      <c r="H92" s="38">
        <f t="shared" si="2"/>
        <v>0</v>
      </c>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7"/>
    </row>
    <row r="93" spans="1:34" ht="15.75" customHeight="1" x14ac:dyDescent="0.4">
      <c r="A93" s="9" t="s">
        <v>275</v>
      </c>
      <c r="B93" s="35">
        <v>1</v>
      </c>
      <c r="C93" s="35" t="s">
        <v>56</v>
      </c>
      <c r="D93" s="35" t="s">
        <v>276</v>
      </c>
      <c r="E93" s="35" t="s">
        <v>277</v>
      </c>
      <c r="F93" s="35" t="s">
        <v>67</v>
      </c>
      <c r="G93" s="35" t="s">
        <v>60</v>
      </c>
      <c r="H93" s="38">
        <f t="shared" si="2"/>
        <v>0</v>
      </c>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7"/>
    </row>
    <row r="94" spans="1:34" ht="15.75" customHeight="1" x14ac:dyDescent="0.4">
      <c r="A94" s="9" t="s">
        <v>278</v>
      </c>
      <c r="B94" s="35">
        <v>1</v>
      </c>
      <c r="C94" s="35" t="s">
        <v>279</v>
      </c>
      <c r="D94" s="35" t="s">
        <v>280</v>
      </c>
      <c r="E94" s="35" t="s">
        <v>280</v>
      </c>
      <c r="F94" s="35" t="s">
        <v>67</v>
      </c>
      <c r="G94" s="35" t="s">
        <v>281</v>
      </c>
      <c r="H94" s="38">
        <f t="shared" si="2"/>
        <v>123.374570578671</v>
      </c>
      <c r="I94" s="36">
        <v>14.2755730799141</v>
      </c>
      <c r="J94" s="36">
        <v>1.1325281805672099E-8</v>
      </c>
      <c r="K94" s="36">
        <v>8.7795202053431007E-12</v>
      </c>
      <c r="L94" s="36">
        <v>3.2180640334358898E-7</v>
      </c>
      <c r="M94" s="36">
        <v>4.9988437656330496E-10</v>
      </c>
      <c r="N94" s="36">
        <v>3.8584541114020699E-7</v>
      </c>
      <c r="O94" s="36">
        <v>1.8116209365375299E-9</v>
      </c>
      <c r="P94" s="36">
        <v>2.6449674428789099E-9</v>
      </c>
      <c r="Q94" s="36">
        <v>2.8142102639040702E-12</v>
      </c>
      <c r="R94" s="36">
        <v>3.0305808380335701E-9</v>
      </c>
      <c r="S94" s="36">
        <v>5.6915896396899899E-9</v>
      </c>
      <c r="T94" s="36">
        <v>3.5079479454444402E-13</v>
      </c>
      <c r="U94" s="36">
        <v>7.8406125585363106E-9</v>
      </c>
      <c r="V94" s="36">
        <v>1.60914568450066E-4</v>
      </c>
      <c r="W94" s="36">
        <v>5.9661996793987002E-4</v>
      </c>
      <c r="X94" s="36">
        <v>6.9248780430774496E-4</v>
      </c>
      <c r="Y94" s="36">
        <v>4.3881789239795599E-9</v>
      </c>
      <c r="Z94" s="36">
        <v>6.2273298864496097E-9</v>
      </c>
      <c r="AA94" s="36">
        <v>1.2580730455571001E-5</v>
      </c>
      <c r="AB94" s="36">
        <v>3.8186728816407798E-8</v>
      </c>
      <c r="AC94" s="36">
        <v>1.2893451208109901E-6</v>
      </c>
      <c r="AD94" s="36">
        <v>1.6561139928705</v>
      </c>
      <c r="AE94" s="36">
        <v>121.71845658580099</v>
      </c>
      <c r="AF94" s="36">
        <v>7.3266767256565001E-7</v>
      </c>
      <c r="AG94" s="36">
        <v>1.4639411896697401E-3</v>
      </c>
      <c r="AH94" s="37">
        <v>123.374570578671</v>
      </c>
    </row>
    <row r="95" spans="1:34" ht="15.75" customHeight="1" x14ac:dyDescent="0.4">
      <c r="A95" s="9" t="s">
        <v>282</v>
      </c>
      <c r="B95" s="35">
        <v>1</v>
      </c>
      <c r="C95" s="35" t="s">
        <v>56</v>
      </c>
      <c r="D95" s="35" t="s">
        <v>283</v>
      </c>
      <c r="E95" s="35" t="s">
        <v>284</v>
      </c>
      <c r="F95" s="35" t="s">
        <v>74</v>
      </c>
      <c r="G95" s="35" t="s">
        <v>60</v>
      </c>
      <c r="H95" s="38">
        <f t="shared" si="2"/>
        <v>0</v>
      </c>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7"/>
    </row>
    <row r="96" spans="1:34" ht="15.75" customHeight="1" x14ac:dyDescent="0.4">
      <c r="A96" s="9" t="s">
        <v>285</v>
      </c>
      <c r="B96" s="35">
        <v>1</v>
      </c>
      <c r="C96" s="35" t="s">
        <v>56</v>
      </c>
      <c r="D96" s="35" t="s">
        <v>286</v>
      </c>
      <c r="E96" s="35" t="s">
        <v>287</v>
      </c>
      <c r="F96" s="35" t="s">
        <v>74</v>
      </c>
      <c r="G96" s="35" t="s">
        <v>60</v>
      </c>
      <c r="H96" s="38">
        <f t="shared" si="2"/>
        <v>0</v>
      </c>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7"/>
    </row>
    <row r="97" spans="1:34" ht="15.75" customHeight="1" x14ac:dyDescent="0.4">
      <c r="A97" s="9" t="s">
        <v>288</v>
      </c>
      <c r="B97" s="35">
        <v>1</v>
      </c>
      <c r="C97" s="35" t="s">
        <v>56</v>
      </c>
      <c r="D97" s="35" t="s">
        <v>289</v>
      </c>
      <c r="E97" s="35" t="s">
        <v>290</v>
      </c>
      <c r="F97" s="35" t="s">
        <v>67</v>
      </c>
      <c r="G97" s="35" t="s">
        <v>60</v>
      </c>
      <c r="H97" s="38">
        <f t="shared" si="2"/>
        <v>0</v>
      </c>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7"/>
    </row>
    <row r="98" spans="1:34" ht="15.75" customHeight="1" x14ac:dyDescent="0.4">
      <c r="A98" s="9" t="s">
        <v>291</v>
      </c>
      <c r="B98" s="35">
        <v>1</v>
      </c>
      <c r="C98" s="35" t="s">
        <v>56</v>
      </c>
      <c r="D98" s="35" t="s">
        <v>292</v>
      </c>
      <c r="E98" s="35" t="s">
        <v>293</v>
      </c>
      <c r="F98" s="35" t="s">
        <v>67</v>
      </c>
      <c r="G98" s="35" t="s">
        <v>60</v>
      </c>
      <c r="H98" s="38">
        <f t="shared" si="2"/>
        <v>0</v>
      </c>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7"/>
    </row>
    <row r="99" spans="1:34" ht="15.75" customHeight="1" x14ac:dyDescent="0.4">
      <c r="A99" s="9" t="s">
        <v>294</v>
      </c>
      <c r="B99" s="35">
        <v>1</v>
      </c>
      <c r="C99" s="35" t="s">
        <v>56</v>
      </c>
      <c r="D99" s="35" t="s">
        <v>295</v>
      </c>
      <c r="E99" s="35" t="s">
        <v>296</v>
      </c>
      <c r="F99" s="35" t="s">
        <v>67</v>
      </c>
      <c r="G99" s="35" t="s">
        <v>60</v>
      </c>
      <c r="H99" s="38">
        <f t="shared" si="2"/>
        <v>0</v>
      </c>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7"/>
    </row>
    <row r="100" spans="1:34" x14ac:dyDescent="0.4">
      <c r="A100" s="9" t="s">
        <v>297</v>
      </c>
      <c r="B100" s="35">
        <v>1</v>
      </c>
      <c r="C100" s="35" t="s">
        <v>56</v>
      </c>
      <c r="D100" s="35" t="s">
        <v>298</v>
      </c>
      <c r="E100" s="35" t="s">
        <v>299</v>
      </c>
      <c r="F100" s="35" t="s">
        <v>74</v>
      </c>
      <c r="G100" s="35" t="s">
        <v>60</v>
      </c>
      <c r="H100" s="38">
        <f t="shared" ref="H100:H128" si="3">IFERROR(INDEX(I100:AH100,MATCH($H$3,$I$3:$AH$3,0)),"")</f>
        <v>0</v>
      </c>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7"/>
    </row>
    <row r="101" spans="1:34" x14ac:dyDescent="0.4">
      <c r="A101" s="9" t="s">
        <v>300</v>
      </c>
      <c r="B101" s="35">
        <v>1</v>
      </c>
      <c r="C101" s="35" t="s">
        <v>56</v>
      </c>
      <c r="D101" s="35" t="s">
        <v>301</v>
      </c>
      <c r="E101" s="35" t="s">
        <v>302</v>
      </c>
      <c r="F101" s="35" t="s">
        <v>74</v>
      </c>
      <c r="G101" s="35" t="s">
        <v>60</v>
      </c>
      <c r="H101" s="38">
        <f t="shared" si="3"/>
        <v>0</v>
      </c>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7"/>
    </row>
    <row r="102" spans="1:34" x14ac:dyDescent="0.4">
      <c r="A102" s="9" t="s">
        <v>303</v>
      </c>
      <c r="B102" s="35">
        <v>1</v>
      </c>
      <c r="C102" s="35" t="s">
        <v>56</v>
      </c>
      <c r="D102" s="35" t="s">
        <v>304</v>
      </c>
      <c r="E102" s="35" t="s">
        <v>305</v>
      </c>
      <c r="F102" s="35" t="s">
        <v>59</v>
      </c>
      <c r="G102" s="35" t="s">
        <v>60</v>
      </c>
      <c r="H102" s="38">
        <f t="shared" si="3"/>
        <v>0</v>
      </c>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7"/>
    </row>
    <row r="103" spans="1:34" x14ac:dyDescent="0.4">
      <c r="A103" s="9" t="s">
        <v>306</v>
      </c>
      <c r="B103" s="35">
        <v>1</v>
      </c>
      <c r="C103" s="35" t="s">
        <v>56</v>
      </c>
      <c r="D103" s="35" t="s">
        <v>307</v>
      </c>
      <c r="E103" s="35" t="s">
        <v>308</v>
      </c>
      <c r="F103" s="35" t="s">
        <v>67</v>
      </c>
      <c r="G103" s="35" t="s">
        <v>60</v>
      </c>
      <c r="H103" s="28">
        <f t="shared" si="3"/>
        <v>0</v>
      </c>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41"/>
    </row>
    <row r="104" spans="1:34" x14ac:dyDescent="0.4">
      <c r="A104" s="9" t="s">
        <v>309</v>
      </c>
      <c r="B104" s="35">
        <v>1</v>
      </c>
      <c r="C104" s="35" t="s">
        <v>56</v>
      </c>
      <c r="D104" s="35" t="s">
        <v>310</v>
      </c>
      <c r="E104" s="35" t="s">
        <v>311</v>
      </c>
      <c r="F104" s="35" t="s">
        <v>67</v>
      </c>
      <c r="G104" s="35" t="s">
        <v>60</v>
      </c>
      <c r="H104" s="28">
        <f t="shared" si="3"/>
        <v>0</v>
      </c>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41"/>
    </row>
    <row r="105" spans="1:34" x14ac:dyDescent="0.4">
      <c r="A105" s="9" t="s">
        <v>312</v>
      </c>
      <c r="B105" s="35">
        <v>1</v>
      </c>
      <c r="C105" s="35" t="s">
        <v>56</v>
      </c>
      <c r="D105" s="35" t="s">
        <v>313</v>
      </c>
      <c r="E105" s="35" t="s">
        <v>314</v>
      </c>
      <c r="F105" s="35" t="s">
        <v>67</v>
      </c>
      <c r="G105" s="35" t="s">
        <v>60</v>
      </c>
      <c r="H105" s="38">
        <f t="shared" si="3"/>
        <v>0</v>
      </c>
      <c r="I105" s="36"/>
      <c r="J105" s="36"/>
      <c r="K105" s="36"/>
      <c r="L105" s="36"/>
      <c r="M105" s="36"/>
      <c r="N105" s="36"/>
      <c r="O105" s="36"/>
      <c r="P105" s="36"/>
      <c r="Q105" s="36"/>
      <c r="R105" s="36"/>
      <c r="S105" s="36"/>
      <c r="T105" s="36"/>
      <c r="U105" s="36"/>
      <c r="V105" s="36"/>
      <c r="W105" s="35"/>
      <c r="X105" s="36"/>
      <c r="Y105" s="36"/>
      <c r="Z105" s="36"/>
      <c r="AA105" s="36"/>
      <c r="AB105" s="36"/>
      <c r="AC105" s="35"/>
      <c r="AD105" s="35"/>
      <c r="AE105" s="36"/>
      <c r="AF105" s="35"/>
      <c r="AG105" s="35"/>
      <c r="AH105" s="41"/>
    </row>
    <row r="106" spans="1:34" x14ac:dyDescent="0.4">
      <c r="A106" s="9" t="s">
        <v>315</v>
      </c>
      <c r="B106" s="35">
        <v>1</v>
      </c>
      <c r="C106" s="35" t="s">
        <v>56</v>
      </c>
      <c r="D106" s="35" t="s">
        <v>316</v>
      </c>
      <c r="E106" s="35" t="s">
        <v>317</v>
      </c>
      <c r="F106" s="35" t="s">
        <v>67</v>
      </c>
      <c r="G106" s="35" t="s">
        <v>60</v>
      </c>
      <c r="H106" s="38">
        <f t="shared" si="3"/>
        <v>0</v>
      </c>
      <c r="I106" s="36"/>
      <c r="J106" s="36"/>
      <c r="K106" s="36"/>
      <c r="L106" s="36"/>
      <c r="M106" s="36"/>
      <c r="N106" s="36"/>
      <c r="O106" s="36"/>
      <c r="P106" s="36"/>
      <c r="Q106" s="36"/>
      <c r="R106" s="36"/>
      <c r="S106" s="36"/>
      <c r="T106" s="36"/>
      <c r="U106" s="36"/>
      <c r="V106" s="35"/>
      <c r="W106" s="35"/>
      <c r="X106" s="36"/>
      <c r="Y106" s="36"/>
      <c r="Z106" s="36"/>
      <c r="AA106" s="36"/>
      <c r="AB106" s="36"/>
      <c r="AC106" s="35"/>
      <c r="AD106" s="35"/>
      <c r="AE106" s="36"/>
      <c r="AF106" s="35"/>
      <c r="AG106" s="35"/>
      <c r="AH106" s="41"/>
    </row>
    <row r="107" spans="1:34" x14ac:dyDescent="0.4">
      <c r="A107" s="9" t="s">
        <v>318</v>
      </c>
      <c r="B107" s="35">
        <v>1</v>
      </c>
      <c r="C107" s="35" t="s">
        <v>56</v>
      </c>
      <c r="D107" s="35" t="s">
        <v>319</v>
      </c>
      <c r="E107" s="35" t="s">
        <v>320</v>
      </c>
      <c r="F107" s="35" t="s">
        <v>59</v>
      </c>
      <c r="G107" s="35" t="s">
        <v>60</v>
      </c>
      <c r="H107" s="38">
        <f t="shared" si="3"/>
        <v>0</v>
      </c>
      <c r="I107" s="36"/>
      <c r="J107" s="36"/>
      <c r="K107" s="36"/>
      <c r="L107" s="36"/>
      <c r="M107" s="36"/>
      <c r="N107" s="36"/>
      <c r="O107" s="36"/>
      <c r="P107" s="36"/>
      <c r="Q107" s="36"/>
      <c r="R107" s="36"/>
      <c r="S107" s="36"/>
      <c r="T107" s="36"/>
      <c r="U107" s="36"/>
      <c r="V107" s="36"/>
      <c r="W107" s="35"/>
      <c r="X107" s="36"/>
      <c r="Y107" s="36"/>
      <c r="Z107" s="36"/>
      <c r="AA107" s="36"/>
      <c r="AB107" s="36"/>
      <c r="AC107" s="35"/>
      <c r="AD107" s="35"/>
      <c r="AE107" s="36"/>
      <c r="AF107" s="35"/>
      <c r="AG107" s="35"/>
      <c r="AH107" s="41"/>
    </row>
    <row r="108" spans="1:34" x14ac:dyDescent="0.4">
      <c r="A108" s="9" t="s">
        <v>321</v>
      </c>
      <c r="B108" s="35">
        <v>1</v>
      </c>
      <c r="C108" s="35" t="s">
        <v>56</v>
      </c>
      <c r="D108" s="35" t="s">
        <v>201</v>
      </c>
      <c r="E108" s="35" t="s">
        <v>322</v>
      </c>
      <c r="F108" s="35" t="s">
        <v>67</v>
      </c>
      <c r="G108" s="35" t="s">
        <v>60</v>
      </c>
      <c r="H108" s="38">
        <f t="shared" si="3"/>
        <v>0</v>
      </c>
      <c r="I108" s="36"/>
      <c r="J108" s="36"/>
      <c r="K108" s="36"/>
      <c r="L108" s="36"/>
      <c r="M108" s="36"/>
      <c r="N108" s="36"/>
      <c r="O108" s="36"/>
      <c r="P108" s="36"/>
      <c r="Q108" s="36"/>
      <c r="R108" s="36"/>
      <c r="S108" s="36"/>
      <c r="T108" s="36"/>
      <c r="U108" s="36"/>
      <c r="V108" s="35"/>
      <c r="W108" s="35"/>
      <c r="X108" s="36"/>
      <c r="Y108" s="36"/>
      <c r="Z108" s="36"/>
      <c r="AA108" s="36"/>
      <c r="AB108" s="36"/>
      <c r="AC108" s="35"/>
      <c r="AD108" s="35"/>
      <c r="AE108" s="36"/>
      <c r="AF108" s="35"/>
      <c r="AG108" s="35"/>
      <c r="AH108" s="41"/>
    </row>
    <row r="109" spans="1:34" x14ac:dyDescent="0.4">
      <c r="A109" s="9" t="s">
        <v>221</v>
      </c>
      <c r="B109" s="35">
        <v>1</v>
      </c>
      <c r="C109" s="35" t="s">
        <v>56</v>
      </c>
      <c r="D109" s="35" t="s">
        <v>222</v>
      </c>
      <c r="E109" s="35" t="s">
        <v>223</v>
      </c>
      <c r="F109" s="35" t="s">
        <v>59</v>
      </c>
      <c r="G109" s="35" t="s">
        <v>60</v>
      </c>
      <c r="H109" s="38">
        <f t="shared" si="3"/>
        <v>0</v>
      </c>
      <c r="I109" s="36"/>
      <c r="J109" s="36"/>
      <c r="K109" s="36"/>
      <c r="L109" s="36"/>
      <c r="M109" s="36"/>
      <c r="N109" s="36"/>
      <c r="O109" s="36"/>
      <c r="P109" s="36"/>
      <c r="Q109" s="36"/>
      <c r="R109" s="36"/>
      <c r="S109" s="36"/>
      <c r="T109" s="36"/>
      <c r="U109" s="36"/>
      <c r="V109" s="35"/>
      <c r="W109" s="36"/>
      <c r="X109" s="36"/>
      <c r="Y109" s="36"/>
      <c r="Z109" s="36"/>
      <c r="AA109" s="36"/>
      <c r="AB109" s="36"/>
      <c r="AC109" s="35"/>
      <c r="AD109" s="35"/>
      <c r="AE109" s="36"/>
      <c r="AF109" s="35"/>
      <c r="AG109" s="35"/>
      <c r="AH109" s="41"/>
    </row>
    <row r="110" spans="1:34" x14ac:dyDescent="0.4">
      <c r="A110" s="9" t="s">
        <v>323</v>
      </c>
      <c r="B110" s="35">
        <v>1</v>
      </c>
      <c r="C110" s="35" t="s">
        <v>56</v>
      </c>
      <c r="D110" s="35" t="s">
        <v>324</v>
      </c>
      <c r="E110" s="35" t="s">
        <v>325</v>
      </c>
      <c r="F110" s="35" t="s">
        <v>67</v>
      </c>
      <c r="G110" s="35" t="s">
        <v>60</v>
      </c>
      <c r="H110" s="38">
        <f t="shared" si="3"/>
        <v>0</v>
      </c>
      <c r="I110" s="36"/>
      <c r="J110" s="36"/>
      <c r="K110" s="36"/>
      <c r="L110" s="36"/>
      <c r="M110" s="36"/>
      <c r="N110" s="36"/>
      <c r="O110" s="36"/>
      <c r="P110" s="36"/>
      <c r="Q110" s="36"/>
      <c r="R110" s="36"/>
      <c r="S110" s="36"/>
      <c r="T110" s="36"/>
      <c r="U110" s="36"/>
      <c r="V110" s="35"/>
      <c r="W110" s="35"/>
      <c r="X110" s="36"/>
      <c r="Y110" s="36"/>
      <c r="Z110" s="36"/>
      <c r="AA110" s="36"/>
      <c r="AB110" s="36"/>
      <c r="AC110" s="35"/>
      <c r="AD110" s="35"/>
      <c r="AE110" s="36"/>
      <c r="AF110" s="35"/>
      <c r="AG110" s="35"/>
      <c r="AH110" s="41"/>
    </row>
    <row r="111" spans="1:34" x14ac:dyDescent="0.4">
      <c r="A111" s="9" t="s">
        <v>326</v>
      </c>
      <c r="B111" s="35">
        <v>1</v>
      </c>
      <c r="C111" s="35" t="s">
        <v>56</v>
      </c>
      <c r="D111" s="35" t="s">
        <v>327</v>
      </c>
      <c r="E111" s="35" t="s">
        <v>328</v>
      </c>
      <c r="F111" s="35" t="s">
        <v>59</v>
      </c>
      <c r="G111" s="35" t="s">
        <v>60</v>
      </c>
      <c r="H111" s="38">
        <f t="shared" si="3"/>
        <v>0</v>
      </c>
      <c r="I111" s="36"/>
      <c r="J111" s="36"/>
      <c r="K111" s="36"/>
      <c r="L111" s="36"/>
      <c r="M111" s="36"/>
      <c r="N111" s="36"/>
      <c r="O111" s="36"/>
      <c r="P111" s="36"/>
      <c r="Q111" s="36"/>
      <c r="R111" s="36"/>
      <c r="S111" s="36"/>
      <c r="T111" s="36"/>
      <c r="U111" s="36"/>
      <c r="V111" s="36"/>
      <c r="W111" s="36"/>
      <c r="X111" s="36"/>
      <c r="Y111" s="36"/>
      <c r="Z111" s="36"/>
      <c r="AA111" s="36"/>
      <c r="AB111" s="36"/>
      <c r="AC111" s="35"/>
      <c r="AD111" s="35"/>
      <c r="AE111" s="36"/>
      <c r="AF111" s="35"/>
      <c r="AG111" s="35"/>
      <c r="AH111" s="41"/>
    </row>
    <row r="112" spans="1:34" x14ac:dyDescent="0.4">
      <c r="A112" s="9" t="s">
        <v>329</v>
      </c>
      <c r="B112" s="35">
        <v>1</v>
      </c>
      <c r="C112" s="35" t="s">
        <v>56</v>
      </c>
      <c r="D112" s="35" t="s">
        <v>330</v>
      </c>
      <c r="E112" s="35" t="s">
        <v>331</v>
      </c>
      <c r="F112" s="35" t="s">
        <v>67</v>
      </c>
      <c r="G112" s="35" t="s">
        <v>60</v>
      </c>
      <c r="H112" s="38">
        <f t="shared" si="3"/>
        <v>0</v>
      </c>
      <c r="I112" s="36"/>
      <c r="J112" s="36"/>
      <c r="K112" s="36"/>
      <c r="L112" s="36"/>
      <c r="M112" s="36"/>
      <c r="N112" s="36"/>
      <c r="O112" s="36"/>
      <c r="P112" s="36"/>
      <c r="Q112" s="36"/>
      <c r="R112" s="36"/>
      <c r="S112" s="36"/>
      <c r="T112" s="36"/>
      <c r="U112" s="36"/>
      <c r="V112" s="35"/>
      <c r="W112" s="35"/>
      <c r="X112" s="36"/>
      <c r="Y112" s="36"/>
      <c r="Z112" s="36"/>
      <c r="AA112" s="36"/>
      <c r="AB112" s="36"/>
      <c r="AC112" s="35"/>
      <c r="AD112" s="35"/>
      <c r="AE112" s="36"/>
      <c r="AF112" s="35"/>
      <c r="AG112" s="35"/>
      <c r="AH112" s="41"/>
    </row>
    <row r="113" spans="1:34" x14ac:dyDescent="0.4">
      <c r="A113" s="9" t="s">
        <v>64</v>
      </c>
      <c r="B113" s="35">
        <v>1</v>
      </c>
      <c r="C113" s="35" t="s">
        <v>56</v>
      </c>
      <c r="D113" s="35" t="s">
        <v>65</v>
      </c>
      <c r="E113" s="35" t="s">
        <v>66</v>
      </c>
      <c r="F113" s="35" t="s">
        <v>67</v>
      </c>
      <c r="G113" s="35" t="s">
        <v>60</v>
      </c>
      <c r="H113" s="38">
        <f t="shared" si="3"/>
        <v>0</v>
      </c>
      <c r="I113" s="36"/>
      <c r="J113" s="36"/>
      <c r="K113" s="36"/>
      <c r="L113" s="36"/>
      <c r="M113" s="36"/>
      <c r="N113" s="36"/>
      <c r="O113" s="36"/>
      <c r="P113" s="36"/>
      <c r="Q113" s="36"/>
      <c r="R113" s="36"/>
      <c r="S113" s="36"/>
      <c r="T113" s="36"/>
      <c r="U113" s="36"/>
      <c r="V113" s="35"/>
      <c r="W113" s="35"/>
      <c r="X113" s="36"/>
      <c r="Y113" s="36"/>
      <c r="Z113" s="36"/>
      <c r="AA113" s="36"/>
      <c r="AB113" s="36"/>
      <c r="AC113" s="35"/>
      <c r="AD113" s="35"/>
      <c r="AE113" s="36"/>
      <c r="AF113" s="35"/>
      <c r="AG113" s="35"/>
      <c r="AH113" s="41"/>
    </row>
    <row r="114" spans="1:34" x14ac:dyDescent="0.4">
      <c r="A114" s="9" t="s">
        <v>329</v>
      </c>
      <c r="B114" s="35">
        <v>1</v>
      </c>
      <c r="C114" s="35" t="s">
        <v>56</v>
      </c>
      <c r="D114" s="35" t="s">
        <v>330</v>
      </c>
      <c r="E114" s="35" t="s">
        <v>331</v>
      </c>
      <c r="F114" s="35" t="s">
        <v>67</v>
      </c>
      <c r="G114" s="35" t="s">
        <v>60</v>
      </c>
      <c r="H114" s="38">
        <f t="shared" si="3"/>
        <v>0</v>
      </c>
      <c r="I114" s="36"/>
      <c r="J114" s="36"/>
      <c r="K114" s="36"/>
      <c r="L114" s="36"/>
      <c r="M114" s="36"/>
      <c r="N114" s="36"/>
      <c r="O114" s="36"/>
      <c r="P114" s="36"/>
      <c r="Q114" s="36"/>
      <c r="R114" s="36"/>
      <c r="S114" s="36"/>
      <c r="T114" s="36"/>
      <c r="U114" s="36"/>
      <c r="V114" s="35"/>
      <c r="W114" s="35"/>
      <c r="X114" s="36"/>
      <c r="Y114" s="36"/>
      <c r="Z114" s="36"/>
      <c r="AA114" s="36"/>
      <c r="AB114" s="36"/>
      <c r="AC114" s="35"/>
      <c r="AD114" s="35"/>
      <c r="AE114" s="36"/>
      <c r="AF114" s="35"/>
      <c r="AG114" s="35"/>
      <c r="AH114" s="41"/>
    </row>
    <row r="115" spans="1:34" x14ac:dyDescent="0.4">
      <c r="A115" s="9" t="s">
        <v>332</v>
      </c>
      <c r="B115" s="35">
        <v>1</v>
      </c>
      <c r="C115" s="35" t="s">
        <v>56</v>
      </c>
      <c r="D115" s="35" t="s">
        <v>333</v>
      </c>
      <c r="E115" s="35" t="s">
        <v>334</v>
      </c>
      <c r="F115" s="35" t="s">
        <v>67</v>
      </c>
      <c r="G115" s="35" t="s">
        <v>60</v>
      </c>
      <c r="H115" s="38">
        <f t="shared" si="3"/>
        <v>0</v>
      </c>
      <c r="I115" s="36"/>
      <c r="J115" s="36"/>
      <c r="K115" s="36"/>
      <c r="L115" s="36"/>
      <c r="M115" s="36"/>
      <c r="N115" s="36"/>
      <c r="O115" s="36"/>
      <c r="P115" s="36"/>
      <c r="Q115" s="36"/>
      <c r="R115" s="36"/>
      <c r="S115" s="36"/>
      <c r="T115" s="36"/>
      <c r="U115" s="36"/>
      <c r="V115" s="35"/>
      <c r="W115" s="35"/>
      <c r="X115" s="36"/>
      <c r="Y115" s="36"/>
      <c r="Z115" s="36"/>
      <c r="AA115" s="36"/>
      <c r="AB115" s="36"/>
      <c r="AC115" s="35"/>
      <c r="AD115" s="35"/>
      <c r="AE115" s="36"/>
      <c r="AF115" s="35"/>
      <c r="AG115" s="35"/>
      <c r="AH115" s="41"/>
    </row>
    <row r="116" spans="1:34" x14ac:dyDescent="0.4">
      <c r="A116" s="9" t="s">
        <v>335</v>
      </c>
      <c r="B116" s="35">
        <v>1</v>
      </c>
      <c r="C116" s="35" t="s">
        <v>56</v>
      </c>
      <c r="D116" s="35" t="s">
        <v>336</v>
      </c>
      <c r="E116" s="35" t="s">
        <v>337</v>
      </c>
      <c r="F116" s="35" t="s">
        <v>67</v>
      </c>
      <c r="G116" s="35" t="s">
        <v>60</v>
      </c>
      <c r="H116" s="38">
        <f t="shared" si="3"/>
        <v>0</v>
      </c>
      <c r="I116" s="36"/>
      <c r="J116" s="36"/>
      <c r="K116" s="36"/>
      <c r="L116" s="36"/>
      <c r="M116" s="36"/>
      <c r="N116" s="36"/>
      <c r="O116" s="36"/>
      <c r="P116" s="36"/>
      <c r="Q116" s="36"/>
      <c r="R116" s="36"/>
      <c r="S116" s="36"/>
      <c r="T116" s="36"/>
      <c r="U116" s="36"/>
      <c r="V116" s="36"/>
      <c r="W116" s="36"/>
      <c r="X116" s="36"/>
      <c r="Y116" s="36"/>
      <c r="Z116" s="36"/>
      <c r="AA116" s="36"/>
      <c r="AB116" s="36"/>
      <c r="AC116" s="35"/>
      <c r="AD116" s="35"/>
      <c r="AE116" s="36"/>
      <c r="AF116" s="35"/>
      <c r="AG116" s="35"/>
      <c r="AH116" s="41"/>
    </row>
    <row r="117" spans="1:34" x14ac:dyDescent="0.4">
      <c r="A117" s="9" t="s">
        <v>338</v>
      </c>
      <c r="B117" s="35">
        <v>1</v>
      </c>
      <c r="C117" s="35" t="s">
        <v>56</v>
      </c>
      <c r="D117" s="35" t="s">
        <v>339</v>
      </c>
      <c r="E117" s="35" t="s">
        <v>340</v>
      </c>
      <c r="F117" s="35" t="s">
        <v>59</v>
      </c>
      <c r="G117" s="35" t="s">
        <v>60</v>
      </c>
      <c r="H117" s="38">
        <f t="shared" si="3"/>
        <v>0</v>
      </c>
      <c r="I117" s="36"/>
      <c r="J117" s="36"/>
      <c r="K117" s="36"/>
      <c r="L117" s="36"/>
      <c r="M117" s="36"/>
      <c r="N117" s="36"/>
      <c r="O117" s="36"/>
      <c r="P117" s="36"/>
      <c r="Q117" s="36"/>
      <c r="R117" s="36"/>
      <c r="S117" s="36"/>
      <c r="T117" s="36"/>
      <c r="U117" s="36"/>
      <c r="V117" s="35"/>
      <c r="W117" s="35"/>
      <c r="X117" s="36"/>
      <c r="Y117" s="36"/>
      <c r="Z117" s="36"/>
      <c r="AA117" s="36"/>
      <c r="AB117" s="36"/>
      <c r="AC117" s="35"/>
      <c r="AD117" s="35"/>
      <c r="AE117" s="36"/>
      <c r="AF117" s="35"/>
      <c r="AG117" s="35"/>
      <c r="AH117" s="41"/>
    </row>
    <row r="118" spans="1:34" x14ac:dyDescent="0.4">
      <c r="A118" s="9" t="s">
        <v>341</v>
      </c>
      <c r="B118" s="35">
        <v>1</v>
      </c>
      <c r="C118" s="35" t="s">
        <v>56</v>
      </c>
      <c r="D118" s="35" t="s">
        <v>342</v>
      </c>
      <c r="E118" s="35" t="s">
        <v>343</v>
      </c>
      <c r="F118" s="35" t="s">
        <v>59</v>
      </c>
      <c r="G118" s="35" t="s">
        <v>60</v>
      </c>
      <c r="H118" s="38">
        <f t="shared" si="3"/>
        <v>0</v>
      </c>
      <c r="I118" s="36"/>
      <c r="J118" s="36"/>
      <c r="K118" s="36"/>
      <c r="L118" s="36"/>
      <c r="M118" s="36"/>
      <c r="N118" s="36"/>
      <c r="O118" s="36"/>
      <c r="P118" s="36"/>
      <c r="Q118" s="36"/>
      <c r="R118" s="36"/>
      <c r="S118" s="36"/>
      <c r="T118" s="36"/>
      <c r="U118" s="36"/>
      <c r="V118" s="36"/>
      <c r="W118" s="35"/>
      <c r="X118" s="36"/>
      <c r="Y118" s="36"/>
      <c r="Z118" s="36"/>
      <c r="AA118" s="36"/>
      <c r="AB118" s="36"/>
      <c r="AC118" s="35"/>
      <c r="AD118" s="35"/>
      <c r="AE118" s="36"/>
      <c r="AF118" s="35"/>
      <c r="AG118" s="35"/>
      <c r="AH118" s="41"/>
    </row>
    <row r="119" spans="1:34" x14ac:dyDescent="0.4">
      <c r="A119" s="9" t="s">
        <v>344</v>
      </c>
      <c r="B119" s="35">
        <v>1</v>
      </c>
      <c r="C119" s="35" t="s">
        <v>56</v>
      </c>
      <c r="D119" s="35" t="s">
        <v>345</v>
      </c>
      <c r="E119" s="35" t="s">
        <v>346</v>
      </c>
      <c r="F119" s="35" t="s">
        <v>67</v>
      </c>
      <c r="G119" s="35" t="s">
        <v>60</v>
      </c>
      <c r="H119" s="38">
        <f t="shared" si="3"/>
        <v>0</v>
      </c>
      <c r="I119" s="36"/>
      <c r="J119" s="36"/>
      <c r="K119" s="36"/>
      <c r="L119" s="36"/>
      <c r="M119" s="36"/>
      <c r="N119" s="36"/>
      <c r="O119" s="36"/>
      <c r="P119" s="36"/>
      <c r="Q119" s="36"/>
      <c r="R119" s="36"/>
      <c r="S119" s="36"/>
      <c r="T119" s="36"/>
      <c r="U119" s="36"/>
      <c r="V119" s="35"/>
      <c r="W119" s="35"/>
      <c r="X119" s="36"/>
      <c r="Y119" s="36"/>
      <c r="Z119" s="36"/>
      <c r="AA119" s="36"/>
      <c r="AB119" s="36"/>
      <c r="AC119" s="35"/>
      <c r="AD119" s="35"/>
      <c r="AE119" s="36"/>
      <c r="AF119" s="35"/>
      <c r="AG119" s="35"/>
      <c r="AH119" s="41"/>
    </row>
    <row r="120" spans="1:34" x14ac:dyDescent="0.4">
      <c r="A120" s="9" t="s">
        <v>347</v>
      </c>
      <c r="B120" s="35">
        <v>1</v>
      </c>
      <c r="C120" s="35" t="s">
        <v>56</v>
      </c>
      <c r="D120" s="35" t="s">
        <v>348</v>
      </c>
      <c r="E120" s="35" t="s">
        <v>349</v>
      </c>
      <c r="F120" s="35" t="s">
        <v>74</v>
      </c>
      <c r="G120" s="35" t="s">
        <v>60</v>
      </c>
      <c r="H120" s="38">
        <f t="shared" si="3"/>
        <v>0</v>
      </c>
      <c r="I120" s="36"/>
      <c r="J120" s="36"/>
      <c r="K120" s="36"/>
      <c r="L120" s="36"/>
      <c r="M120" s="36"/>
      <c r="N120" s="36"/>
      <c r="O120" s="36"/>
      <c r="P120" s="36"/>
      <c r="Q120" s="36"/>
      <c r="R120" s="36"/>
      <c r="S120" s="36"/>
      <c r="T120" s="36"/>
      <c r="U120" s="36"/>
      <c r="V120" s="35"/>
      <c r="W120" s="35"/>
      <c r="X120" s="36"/>
      <c r="Y120" s="36"/>
      <c r="Z120" s="36"/>
      <c r="AA120" s="36"/>
      <c r="AB120" s="36"/>
      <c r="AC120" s="35"/>
      <c r="AD120" s="35"/>
      <c r="AE120" s="36"/>
      <c r="AF120" s="35"/>
      <c r="AG120" s="35"/>
      <c r="AH120" s="41"/>
    </row>
    <row r="121" spans="1:34" x14ac:dyDescent="0.4">
      <c r="A121" s="9" t="s">
        <v>350</v>
      </c>
      <c r="B121" s="35">
        <v>1</v>
      </c>
      <c r="C121" s="35" t="s">
        <v>56</v>
      </c>
      <c r="D121" s="35" t="s">
        <v>351</v>
      </c>
      <c r="E121" s="35" t="s">
        <v>352</v>
      </c>
      <c r="F121" s="35" t="s">
        <v>67</v>
      </c>
      <c r="G121" s="35" t="s">
        <v>60</v>
      </c>
      <c r="H121" s="38">
        <f t="shared" si="3"/>
        <v>0</v>
      </c>
      <c r="I121" s="36"/>
      <c r="J121" s="36"/>
      <c r="K121" s="36"/>
      <c r="L121" s="36"/>
      <c r="M121" s="36"/>
      <c r="N121" s="36"/>
      <c r="O121" s="36"/>
      <c r="P121" s="36"/>
      <c r="Q121" s="36"/>
      <c r="R121" s="36"/>
      <c r="S121" s="36"/>
      <c r="T121" s="36"/>
      <c r="U121" s="35"/>
      <c r="V121" s="35"/>
      <c r="W121" s="35"/>
      <c r="X121" s="36"/>
      <c r="Y121" s="36"/>
      <c r="Z121" s="36"/>
      <c r="AA121" s="36"/>
      <c r="AB121" s="36"/>
      <c r="AC121" s="35"/>
      <c r="AD121" s="35"/>
      <c r="AE121" s="36"/>
      <c r="AF121" s="35"/>
      <c r="AG121" s="35"/>
      <c r="AH121" s="41"/>
    </row>
    <row r="122" spans="1:34" x14ac:dyDescent="0.4">
      <c r="A122" s="9" t="s">
        <v>353</v>
      </c>
      <c r="B122" s="35">
        <v>1</v>
      </c>
      <c r="C122" s="35" t="s">
        <v>56</v>
      </c>
      <c r="D122" s="35" t="s">
        <v>354</v>
      </c>
      <c r="E122" s="35" t="s">
        <v>355</v>
      </c>
      <c r="F122" s="35" t="s">
        <v>59</v>
      </c>
      <c r="G122" s="35" t="s">
        <v>60</v>
      </c>
      <c r="H122" s="38">
        <f t="shared" si="3"/>
        <v>0</v>
      </c>
      <c r="I122" s="36"/>
      <c r="J122" s="36"/>
      <c r="K122" s="36"/>
      <c r="L122" s="36"/>
      <c r="M122" s="36"/>
      <c r="N122" s="36"/>
      <c r="O122" s="36"/>
      <c r="P122" s="36"/>
      <c r="Q122" s="36"/>
      <c r="R122" s="36"/>
      <c r="S122" s="36"/>
      <c r="T122" s="36"/>
      <c r="U122" s="36"/>
      <c r="V122" s="35"/>
      <c r="W122" s="35"/>
      <c r="X122" s="36"/>
      <c r="Y122" s="36"/>
      <c r="Z122" s="36"/>
      <c r="AA122" s="36"/>
      <c r="AB122" s="36"/>
      <c r="AC122" s="35"/>
      <c r="AD122" s="35"/>
      <c r="AE122" s="36"/>
      <c r="AF122" s="35"/>
      <c r="AG122" s="35"/>
      <c r="AH122" s="41"/>
    </row>
    <row r="123" spans="1:34" x14ac:dyDescent="0.4">
      <c r="A123" s="9" t="s">
        <v>356</v>
      </c>
      <c r="B123" s="35">
        <v>1</v>
      </c>
      <c r="C123" s="35" t="s">
        <v>56</v>
      </c>
      <c r="D123" s="35" t="s">
        <v>357</v>
      </c>
      <c r="E123" s="35" t="s">
        <v>358</v>
      </c>
      <c r="F123" s="35" t="s">
        <v>67</v>
      </c>
      <c r="G123" s="35" t="s">
        <v>60</v>
      </c>
      <c r="H123" s="38">
        <f t="shared" si="3"/>
        <v>0</v>
      </c>
      <c r="I123" s="36"/>
      <c r="J123" s="36"/>
      <c r="K123" s="36"/>
      <c r="L123" s="36"/>
      <c r="M123" s="36"/>
      <c r="N123" s="36"/>
      <c r="O123" s="36"/>
      <c r="P123" s="36"/>
      <c r="Q123" s="36"/>
      <c r="R123" s="36"/>
      <c r="S123" s="36"/>
      <c r="T123" s="36"/>
      <c r="U123" s="36"/>
      <c r="V123" s="35"/>
      <c r="W123" s="35"/>
      <c r="X123" s="36"/>
      <c r="Y123" s="36"/>
      <c r="Z123" s="36"/>
      <c r="AA123" s="36"/>
      <c r="AB123" s="36"/>
      <c r="AC123" s="35"/>
      <c r="AD123" s="35"/>
      <c r="AE123" s="36"/>
      <c r="AF123" s="35"/>
      <c r="AG123" s="35"/>
      <c r="AH123" s="41"/>
    </row>
    <row r="124" spans="1:34" x14ac:dyDescent="0.4">
      <c r="A124" s="9" t="s">
        <v>359</v>
      </c>
      <c r="B124" s="35">
        <v>1</v>
      </c>
      <c r="C124" s="35" t="s">
        <v>56</v>
      </c>
      <c r="D124" s="35" t="s">
        <v>360</v>
      </c>
      <c r="E124" s="35" t="s">
        <v>361</v>
      </c>
      <c r="F124" s="35" t="s">
        <v>59</v>
      </c>
      <c r="G124" s="35" t="s">
        <v>60</v>
      </c>
      <c r="H124" s="38">
        <f t="shared" si="3"/>
        <v>0</v>
      </c>
      <c r="I124" s="36"/>
      <c r="J124" s="36"/>
      <c r="K124" s="36"/>
      <c r="L124" s="36"/>
      <c r="M124" s="36"/>
      <c r="N124" s="36"/>
      <c r="O124" s="36"/>
      <c r="P124" s="36"/>
      <c r="Q124" s="36"/>
      <c r="R124" s="36"/>
      <c r="S124" s="36"/>
      <c r="T124" s="36"/>
      <c r="U124" s="36"/>
      <c r="V124" s="36"/>
      <c r="W124" s="36"/>
      <c r="X124" s="36"/>
      <c r="Y124" s="36"/>
      <c r="Z124" s="36"/>
      <c r="AA124" s="36"/>
      <c r="AB124" s="36"/>
      <c r="AC124" s="35"/>
      <c r="AD124" s="35"/>
      <c r="AE124" s="36"/>
      <c r="AF124" s="35"/>
      <c r="AG124" s="35"/>
      <c r="AH124" s="41"/>
    </row>
    <row r="125" spans="1:34" x14ac:dyDescent="0.4">
      <c r="A125" s="9" t="s">
        <v>362</v>
      </c>
      <c r="B125" s="35">
        <v>1</v>
      </c>
      <c r="C125" s="35" t="s">
        <v>56</v>
      </c>
      <c r="D125" s="35" t="s">
        <v>363</v>
      </c>
      <c r="E125" s="35" t="s">
        <v>364</v>
      </c>
      <c r="F125" s="35" t="s">
        <v>67</v>
      </c>
      <c r="G125" s="35" t="s">
        <v>60</v>
      </c>
      <c r="H125" s="38">
        <f t="shared" si="3"/>
        <v>0</v>
      </c>
      <c r="I125" s="36"/>
      <c r="J125" s="36"/>
      <c r="K125" s="36"/>
      <c r="L125" s="36"/>
      <c r="M125" s="36"/>
      <c r="N125" s="36"/>
      <c r="O125" s="36"/>
      <c r="P125" s="36"/>
      <c r="Q125" s="36"/>
      <c r="R125" s="36"/>
      <c r="S125" s="36"/>
      <c r="T125" s="36"/>
      <c r="U125" s="36"/>
      <c r="V125" s="35"/>
      <c r="W125" s="35"/>
      <c r="X125" s="36"/>
      <c r="Y125" s="36"/>
      <c r="Z125" s="36"/>
      <c r="AA125" s="36"/>
      <c r="AB125" s="36"/>
      <c r="AC125" s="35"/>
      <c r="AD125" s="35"/>
      <c r="AE125" s="36"/>
      <c r="AF125" s="35"/>
      <c r="AG125" s="35"/>
      <c r="AH125" s="41"/>
    </row>
    <row r="126" spans="1:34" x14ac:dyDescent="0.4">
      <c r="A126" s="9" t="s">
        <v>365</v>
      </c>
      <c r="B126" s="35">
        <v>1</v>
      </c>
      <c r="C126" s="35" t="s">
        <v>56</v>
      </c>
      <c r="D126" s="35" t="s">
        <v>366</v>
      </c>
      <c r="E126" s="35" t="s">
        <v>367</v>
      </c>
      <c r="F126" s="35" t="s">
        <v>59</v>
      </c>
      <c r="G126" s="35" t="s">
        <v>60</v>
      </c>
      <c r="H126" s="38">
        <f t="shared" si="3"/>
        <v>0</v>
      </c>
      <c r="I126" s="36"/>
      <c r="J126" s="36"/>
      <c r="K126" s="36"/>
      <c r="L126" s="36"/>
      <c r="M126" s="36"/>
      <c r="N126" s="36"/>
      <c r="O126" s="36"/>
      <c r="P126" s="36"/>
      <c r="Q126" s="36"/>
      <c r="R126" s="36"/>
      <c r="S126" s="36"/>
      <c r="T126" s="36"/>
      <c r="U126" s="36"/>
      <c r="V126" s="36"/>
      <c r="W126" s="36"/>
      <c r="X126" s="36"/>
      <c r="Y126" s="36"/>
      <c r="Z126" s="36"/>
      <c r="AA126" s="36"/>
      <c r="AB126" s="36"/>
      <c r="AC126" s="35"/>
      <c r="AD126" s="35"/>
      <c r="AE126" s="36"/>
      <c r="AF126" s="35"/>
      <c r="AG126" s="35"/>
      <c r="AH126" s="41"/>
    </row>
    <row r="127" spans="1:34" x14ac:dyDescent="0.4">
      <c r="A127" s="9" t="s">
        <v>368</v>
      </c>
      <c r="B127" s="35">
        <v>1</v>
      </c>
      <c r="C127" s="35" t="s">
        <v>56</v>
      </c>
      <c r="D127" s="35" t="s">
        <v>369</v>
      </c>
      <c r="E127" s="35" t="s">
        <v>370</v>
      </c>
      <c r="F127" s="35" t="s">
        <v>67</v>
      </c>
      <c r="G127" s="35" t="s">
        <v>60</v>
      </c>
      <c r="H127" s="38">
        <f t="shared" si="3"/>
        <v>0</v>
      </c>
      <c r="I127" s="36"/>
      <c r="J127" s="36"/>
      <c r="K127" s="36"/>
      <c r="L127" s="36"/>
      <c r="M127" s="36"/>
      <c r="N127" s="36"/>
      <c r="O127" s="36"/>
      <c r="P127" s="36"/>
      <c r="Q127" s="36"/>
      <c r="R127" s="36"/>
      <c r="S127" s="36"/>
      <c r="T127" s="36"/>
      <c r="U127" s="36"/>
      <c r="V127" s="35"/>
      <c r="W127" s="35"/>
      <c r="X127" s="36"/>
      <c r="Y127" s="36"/>
      <c r="Z127" s="36"/>
      <c r="AA127" s="36"/>
      <c r="AB127" s="36"/>
      <c r="AC127" s="35"/>
      <c r="AD127" s="35"/>
      <c r="AE127" s="36"/>
      <c r="AF127" s="35"/>
      <c r="AG127" s="35"/>
      <c r="AH127" s="41"/>
    </row>
    <row r="128" spans="1:34" x14ac:dyDescent="0.4">
      <c r="A128" s="24" t="s">
        <v>371</v>
      </c>
      <c r="B128" s="42">
        <v>1</v>
      </c>
      <c r="C128" s="42" t="s">
        <v>56</v>
      </c>
      <c r="D128" s="42" t="s">
        <v>372</v>
      </c>
      <c r="E128" s="42" t="s">
        <v>373</v>
      </c>
      <c r="F128" s="42" t="s">
        <v>74</v>
      </c>
      <c r="G128" s="42" t="s">
        <v>60</v>
      </c>
      <c r="H128" s="43">
        <f t="shared" si="3"/>
        <v>0</v>
      </c>
      <c r="I128" s="44"/>
      <c r="J128" s="44"/>
      <c r="K128" s="44"/>
      <c r="L128" s="44"/>
      <c r="M128" s="44"/>
      <c r="N128" s="44"/>
      <c r="O128" s="44"/>
      <c r="P128" s="44"/>
      <c r="Q128" s="44"/>
      <c r="R128" s="44"/>
      <c r="S128" s="44"/>
      <c r="T128" s="44"/>
      <c r="U128" s="44"/>
      <c r="V128" s="42"/>
      <c r="W128" s="42"/>
      <c r="X128" s="44"/>
      <c r="Y128" s="44"/>
      <c r="Z128" s="44"/>
      <c r="AA128" s="44"/>
      <c r="AB128" s="44"/>
      <c r="AC128" s="42"/>
      <c r="AD128" s="42"/>
      <c r="AE128" s="44"/>
      <c r="AF128" s="42"/>
      <c r="AG128" s="42"/>
      <c r="AH128" s="45"/>
    </row>
  </sheetData>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103"/>
  <sheetViews>
    <sheetView zoomScale="85" zoomScaleNormal="85" workbookViewId="0">
      <selection activeCell="A22" sqref="A22"/>
    </sheetView>
  </sheetViews>
  <sheetFormatPr defaultColWidth="8.69140625" defaultRowHeight="14.6" x14ac:dyDescent="0.4"/>
  <cols>
    <col min="1" max="1" width="45.69140625" customWidth="1"/>
    <col min="2" max="2" width="19.69140625" customWidth="1"/>
    <col min="3" max="8" width="12.3828125" customWidth="1"/>
    <col min="9" max="9" width="17.23046875" customWidth="1"/>
    <col min="10" max="10" width="14.3828125" customWidth="1"/>
    <col min="11" max="11" width="10.53515625" customWidth="1"/>
    <col min="14" max="14" width="14.15234375" customWidth="1"/>
    <col min="21" max="21" width="12.3828125" customWidth="1"/>
    <col min="25" max="25" width="46.53515625" customWidth="1"/>
  </cols>
  <sheetData>
    <row r="1" spans="1:10" ht="18.45" x14ac:dyDescent="0.5">
      <c r="A1" s="211" t="s">
        <v>374</v>
      </c>
      <c r="B1" s="211"/>
      <c r="C1" s="211"/>
      <c r="D1" s="211"/>
      <c r="E1" s="211"/>
      <c r="F1" s="211"/>
      <c r="G1" s="211"/>
      <c r="H1" s="211"/>
      <c r="I1" s="211"/>
    </row>
    <row r="2" spans="1:10" x14ac:dyDescent="0.4">
      <c r="A2" s="46"/>
      <c r="B2" s="47"/>
      <c r="C2" s="47"/>
      <c r="D2" s="47"/>
      <c r="E2" s="47"/>
      <c r="F2" s="47"/>
      <c r="G2" s="47"/>
      <c r="H2" s="47"/>
      <c r="I2" s="47"/>
      <c r="J2" s="47"/>
    </row>
    <row r="3" spans="1:10" x14ac:dyDescent="0.4">
      <c r="A3" s="48" t="s">
        <v>375</v>
      </c>
      <c r="B3" s="49" t="s">
        <v>376</v>
      </c>
      <c r="C3" s="49"/>
      <c r="D3" s="49"/>
      <c r="E3" s="49"/>
      <c r="F3" s="49"/>
      <c r="G3" s="49"/>
      <c r="H3" s="49"/>
      <c r="I3" s="50"/>
      <c r="J3" s="51" t="s">
        <v>377</v>
      </c>
    </row>
    <row r="4" spans="1:10" x14ac:dyDescent="0.4">
      <c r="A4" s="52"/>
      <c r="B4" s="35"/>
      <c r="C4" s="35"/>
      <c r="D4" s="35"/>
      <c r="E4" s="35"/>
      <c r="F4" s="35"/>
      <c r="G4" s="35"/>
      <c r="H4" s="35"/>
      <c r="I4" s="41"/>
      <c r="J4" s="53"/>
    </row>
    <row r="5" spans="1:10" x14ac:dyDescent="0.4">
      <c r="A5" s="54" t="s">
        <v>378</v>
      </c>
      <c r="B5" s="55" t="s">
        <v>379</v>
      </c>
      <c r="C5" s="55" t="s">
        <v>380</v>
      </c>
      <c r="D5" s="55" t="s">
        <v>381</v>
      </c>
      <c r="E5" s="56" t="s">
        <v>380</v>
      </c>
      <c r="F5" s="55" t="s">
        <v>382</v>
      </c>
      <c r="G5" s="55" t="s">
        <v>380</v>
      </c>
      <c r="H5" s="55" t="s">
        <v>383</v>
      </c>
      <c r="I5" s="57" t="s">
        <v>384</v>
      </c>
      <c r="J5" s="53"/>
    </row>
    <row r="6" spans="1:10" x14ac:dyDescent="0.4">
      <c r="A6" s="58" t="s">
        <v>385</v>
      </c>
      <c r="B6" s="35">
        <v>155.13</v>
      </c>
      <c r="C6" s="35" t="s">
        <v>386</v>
      </c>
      <c r="D6" s="59">
        <f>F6*1000/B6</f>
        <v>3.8728091865103638</v>
      </c>
      <c r="E6" s="35" t="s">
        <v>387</v>
      </c>
      <c r="F6" s="60">
        <f>D14*B6/1000/B12</f>
        <v>0.60078888910335271</v>
      </c>
      <c r="G6" s="35" t="s">
        <v>279</v>
      </c>
      <c r="H6" s="59">
        <f>'B.4. Precursors'!G19</f>
        <v>0</v>
      </c>
      <c r="I6" s="61">
        <f>H6*F6</f>
        <v>0</v>
      </c>
      <c r="J6" s="53"/>
    </row>
    <row r="7" spans="1:10" x14ac:dyDescent="0.4">
      <c r="A7" s="62" t="s">
        <v>388</v>
      </c>
      <c r="B7" s="63">
        <v>75.959999999999994</v>
      </c>
      <c r="C7" s="63" t="s">
        <v>386</v>
      </c>
      <c r="D7" s="64">
        <f>D6*(3.867/3.223)</f>
        <v>4.6466500540600615</v>
      </c>
      <c r="E7" s="63" t="s">
        <v>387</v>
      </c>
      <c r="F7" s="65">
        <f>(D14*B7/1000)/B12</f>
        <v>0.2941785858073272</v>
      </c>
      <c r="G7" s="63" t="s">
        <v>279</v>
      </c>
      <c r="H7" s="64">
        <f>'B.4. Precursors'!G65</f>
        <v>0</v>
      </c>
      <c r="I7" s="66">
        <f>H7*F7</f>
        <v>0</v>
      </c>
      <c r="J7" s="53"/>
    </row>
    <row r="8" spans="1:10" x14ac:dyDescent="0.4">
      <c r="A8" s="58" t="s">
        <v>389</v>
      </c>
      <c r="B8" s="63">
        <f>10/0.5</f>
        <v>20</v>
      </c>
      <c r="C8" s="63" t="s">
        <v>390</v>
      </c>
      <c r="D8" s="63"/>
      <c r="E8" s="35"/>
      <c r="F8" s="67">
        <f>F6*B8*0.039</f>
        <v>0.46861533350061513</v>
      </c>
      <c r="G8" s="63" t="s">
        <v>279</v>
      </c>
      <c r="H8" s="59">
        <f>'A. Databases'!H20</f>
        <v>0</v>
      </c>
      <c r="I8" s="61">
        <f>H8*F8</f>
        <v>0</v>
      </c>
      <c r="J8" s="53" t="s">
        <v>391</v>
      </c>
    </row>
    <row r="9" spans="1:10" x14ac:dyDescent="0.4">
      <c r="A9" s="54" t="s">
        <v>392</v>
      </c>
      <c r="B9" s="56" t="s">
        <v>379</v>
      </c>
      <c r="C9" s="56" t="s">
        <v>380</v>
      </c>
      <c r="D9" s="56"/>
      <c r="E9" s="55"/>
      <c r="F9" s="55" t="s">
        <v>382</v>
      </c>
      <c r="G9" s="55" t="s">
        <v>380</v>
      </c>
      <c r="H9" s="55"/>
      <c r="I9" s="57"/>
      <c r="J9" s="53"/>
    </row>
    <row r="10" spans="1:10" x14ac:dyDescent="0.4">
      <c r="A10" s="58" t="s">
        <v>393</v>
      </c>
      <c r="B10" s="63">
        <f>2.562/0.5</f>
        <v>5.1239999999999997</v>
      </c>
      <c r="C10" s="63" t="s">
        <v>390</v>
      </c>
      <c r="D10" s="63" t="s">
        <v>160</v>
      </c>
      <c r="E10" s="63" t="s">
        <v>160</v>
      </c>
      <c r="F10" s="63">
        <f>B10*F6</f>
        <v>3.0784422677655789</v>
      </c>
      <c r="G10" s="35" t="s">
        <v>279</v>
      </c>
      <c r="H10" s="59">
        <f>'A. Databases'!$H$46</f>
        <v>0</v>
      </c>
      <c r="I10" s="61">
        <f>H10*F10</f>
        <v>0</v>
      </c>
      <c r="J10" s="53"/>
    </row>
    <row r="11" spans="1:10" x14ac:dyDescent="0.4">
      <c r="A11" s="58" t="s">
        <v>394</v>
      </c>
      <c r="B11" s="63">
        <f>0.4131/0.5</f>
        <v>0.82620000000000005</v>
      </c>
      <c r="C11" s="63" t="s">
        <v>390</v>
      </c>
      <c r="D11" s="63"/>
      <c r="E11" s="35"/>
      <c r="F11" s="35">
        <f>B11*F6</f>
        <v>0.49637178017719003</v>
      </c>
      <c r="G11" s="63" t="s">
        <v>279</v>
      </c>
      <c r="H11" s="59">
        <f>'A. Databases'!H8</f>
        <v>0</v>
      </c>
      <c r="I11" s="41">
        <f>H11*F11</f>
        <v>0</v>
      </c>
      <c r="J11" s="53"/>
    </row>
    <row r="12" spans="1:10" x14ac:dyDescent="0.4">
      <c r="A12" s="68" t="s">
        <v>395</v>
      </c>
      <c r="B12" s="69">
        <v>0.99</v>
      </c>
      <c r="C12" s="63"/>
      <c r="D12" s="63"/>
      <c r="E12" s="63"/>
      <c r="F12" s="63"/>
      <c r="G12" s="63"/>
      <c r="H12" s="63"/>
      <c r="I12" s="70"/>
      <c r="J12" s="53"/>
    </row>
    <row r="13" spans="1:10" x14ac:dyDescent="0.4">
      <c r="A13" s="71" t="s">
        <v>396</v>
      </c>
      <c r="B13" s="56" t="s">
        <v>379</v>
      </c>
      <c r="C13" s="56" t="s">
        <v>380</v>
      </c>
      <c r="D13" s="56" t="s">
        <v>381</v>
      </c>
      <c r="E13" s="56" t="s">
        <v>380</v>
      </c>
      <c r="F13" s="56" t="s">
        <v>382</v>
      </c>
      <c r="G13" s="56" t="s">
        <v>380</v>
      </c>
      <c r="H13" s="56"/>
      <c r="I13" s="72"/>
      <c r="J13" s="53"/>
    </row>
    <row r="14" spans="1:10" x14ac:dyDescent="0.4">
      <c r="A14" s="73">
        <v>2</v>
      </c>
      <c r="B14" s="74">
        <v>141.15</v>
      </c>
      <c r="C14" s="74" t="s">
        <v>386</v>
      </c>
      <c r="D14" s="75">
        <f>F14/(B14/1000)</f>
        <v>3.8340810946452604</v>
      </c>
      <c r="E14" s="74" t="s">
        <v>387</v>
      </c>
      <c r="F14" s="76">
        <f>F20</f>
        <v>0.54118054650917846</v>
      </c>
      <c r="G14" s="74" t="s">
        <v>279</v>
      </c>
      <c r="H14" s="77">
        <f>I14/F14</f>
        <v>0</v>
      </c>
      <c r="I14" s="78">
        <f>SUM(I6,I7,I8,I10,I11)</f>
        <v>0</v>
      </c>
      <c r="J14" s="79"/>
    </row>
    <row r="15" spans="1:10" x14ac:dyDescent="0.4">
      <c r="A15" s="210"/>
      <c r="B15" s="210"/>
      <c r="C15" s="210"/>
      <c r="D15" s="210"/>
      <c r="E15" s="210"/>
      <c r="F15" s="210"/>
      <c r="G15" s="210"/>
      <c r="H15" s="210"/>
      <c r="I15" s="210"/>
      <c r="J15" s="47"/>
    </row>
    <row r="16" spans="1:10" x14ac:dyDescent="0.4">
      <c r="A16" s="46"/>
      <c r="B16" s="47"/>
      <c r="C16" s="47"/>
      <c r="D16" s="47"/>
      <c r="E16" s="47"/>
      <c r="F16" s="47"/>
      <c r="G16" s="47"/>
      <c r="H16" s="47"/>
      <c r="I16" s="47"/>
      <c r="J16" s="47"/>
    </row>
    <row r="17" spans="1:10" x14ac:dyDescent="0.4">
      <c r="A17" s="48" t="s">
        <v>397</v>
      </c>
      <c r="B17" s="49" t="s">
        <v>398</v>
      </c>
      <c r="C17" s="49"/>
      <c r="D17" s="49"/>
      <c r="E17" s="49"/>
      <c r="F17" s="49"/>
      <c r="G17" s="49"/>
      <c r="H17" s="49"/>
      <c r="I17" s="50"/>
      <c r="J17" s="51" t="s">
        <v>377</v>
      </c>
    </row>
    <row r="18" spans="1:10" x14ac:dyDescent="0.4">
      <c r="A18" s="80"/>
      <c r="B18" s="63"/>
      <c r="C18" s="63"/>
      <c r="D18" s="63"/>
      <c r="E18" s="63"/>
      <c r="F18" s="63"/>
      <c r="G18" s="63"/>
      <c r="H18" s="63"/>
      <c r="I18" s="70"/>
      <c r="J18" s="53"/>
    </row>
    <row r="19" spans="1:10" x14ac:dyDescent="0.4">
      <c r="A19" s="71" t="s">
        <v>378</v>
      </c>
      <c r="B19" s="56" t="s">
        <v>379</v>
      </c>
      <c r="C19" s="56" t="s">
        <v>380</v>
      </c>
      <c r="D19" s="56" t="s">
        <v>381</v>
      </c>
      <c r="E19" s="56" t="s">
        <v>380</v>
      </c>
      <c r="F19" s="56" t="s">
        <v>382</v>
      </c>
      <c r="G19" s="56" t="s">
        <v>380</v>
      </c>
      <c r="H19" s="56" t="s">
        <v>383</v>
      </c>
      <c r="I19" s="72" t="s">
        <v>384</v>
      </c>
      <c r="J19" s="53"/>
    </row>
    <row r="20" spans="1:10" x14ac:dyDescent="0.4">
      <c r="A20" s="81">
        <v>2</v>
      </c>
      <c r="B20" s="63">
        <v>141.15</v>
      </c>
      <c r="C20" s="63" t="s">
        <v>386</v>
      </c>
      <c r="D20" s="64">
        <f>F20*1000/B20</f>
        <v>3.8340810946452604</v>
      </c>
      <c r="E20" s="63" t="s">
        <v>387</v>
      </c>
      <c r="F20" s="82">
        <f>B20*D28/1000/B26</f>
        <v>0.54118054650917846</v>
      </c>
      <c r="G20" s="63" t="s">
        <v>279</v>
      </c>
      <c r="H20" s="64">
        <f>H14</f>
        <v>0</v>
      </c>
      <c r="I20" s="66">
        <f>H20*F20</f>
        <v>0</v>
      </c>
      <c r="J20" s="53"/>
    </row>
    <row r="21" spans="1:10" x14ac:dyDescent="0.4">
      <c r="A21" s="62" t="s">
        <v>399</v>
      </c>
      <c r="B21" s="63">
        <v>233.21</v>
      </c>
      <c r="C21" s="63" t="s">
        <v>386</v>
      </c>
      <c r="D21" s="64">
        <f>F21*1000/B21</f>
        <v>3.985527297883749</v>
      </c>
      <c r="E21" s="63" t="s">
        <v>387</v>
      </c>
      <c r="F21" s="65">
        <f>D28*B21*1.05/1000</f>
        <v>0.92946482113946916</v>
      </c>
      <c r="G21" s="63" t="s">
        <v>279</v>
      </c>
      <c r="H21" s="64">
        <f>'B.4. Precursors'!$G$60</f>
        <v>0</v>
      </c>
      <c r="I21" s="66">
        <f>H21*F21</f>
        <v>0</v>
      </c>
      <c r="J21" s="53"/>
    </row>
    <row r="22" spans="1:10" x14ac:dyDescent="0.4">
      <c r="A22" s="80"/>
      <c r="B22" s="63"/>
      <c r="C22" s="63"/>
      <c r="D22" s="63"/>
      <c r="E22" s="63"/>
      <c r="F22" s="63"/>
      <c r="G22" s="63"/>
      <c r="H22" s="64"/>
      <c r="I22" s="66"/>
      <c r="J22" s="53"/>
    </row>
    <row r="23" spans="1:10" x14ac:dyDescent="0.4">
      <c r="A23" s="71" t="s">
        <v>392</v>
      </c>
      <c r="B23" s="56" t="s">
        <v>379</v>
      </c>
      <c r="C23" s="56" t="s">
        <v>380</v>
      </c>
      <c r="D23" s="56"/>
      <c r="E23" s="56"/>
      <c r="F23" s="56" t="s">
        <v>382</v>
      </c>
      <c r="G23" s="56" t="s">
        <v>380</v>
      </c>
      <c r="H23" s="83"/>
      <c r="I23" s="84"/>
      <c r="J23" s="53"/>
    </row>
    <row r="24" spans="1:10" x14ac:dyDescent="0.4">
      <c r="A24" s="80" t="s">
        <v>394</v>
      </c>
      <c r="B24" s="63">
        <v>5.8588145528098297</v>
      </c>
      <c r="C24" s="63"/>
      <c r="D24" s="63"/>
      <c r="E24" s="63"/>
      <c r="F24" s="85">
        <f>F20*B24</f>
        <v>3.1706764615855518</v>
      </c>
      <c r="G24" s="63" t="s">
        <v>279</v>
      </c>
      <c r="H24" s="64">
        <f>'A. Databases'!H33</f>
        <v>0</v>
      </c>
      <c r="I24" s="66">
        <f>H24*F24</f>
        <v>0</v>
      </c>
      <c r="J24" s="53"/>
    </row>
    <row r="25" spans="1:10" x14ac:dyDescent="0.4">
      <c r="A25" s="80"/>
      <c r="C25" s="63"/>
      <c r="D25" s="63"/>
      <c r="E25" s="63"/>
      <c r="F25" s="63"/>
      <c r="G25" s="63"/>
      <c r="H25" s="64"/>
      <c r="I25" s="66"/>
      <c r="J25" s="53"/>
    </row>
    <row r="26" spans="1:10" x14ac:dyDescent="0.4">
      <c r="A26" s="80" t="s">
        <v>395</v>
      </c>
      <c r="B26" s="69">
        <v>0.99</v>
      </c>
      <c r="C26" s="63"/>
      <c r="D26" s="63"/>
      <c r="E26" s="63"/>
      <c r="F26" s="63"/>
      <c r="G26" s="63"/>
      <c r="H26" s="64"/>
      <c r="I26" s="66"/>
      <c r="J26" s="53"/>
    </row>
    <row r="27" spans="1:10" x14ac:dyDescent="0.4">
      <c r="A27" s="71" t="s">
        <v>396</v>
      </c>
      <c r="B27" s="56" t="s">
        <v>379</v>
      </c>
      <c r="C27" s="56" t="s">
        <v>380</v>
      </c>
      <c r="D27" s="56" t="s">
        <v>381</v>
      </c>
      <c r="E27" s="56"/>
      <c r="F27" s="56" t="s">
        <v>382</v>
      </c>
      <c r="G27" s="56" t="s">
        <v>380</v>
      </c>
      <c r="H27" s="83"/>
      <c r="I27" s="84"/>
      <c r="J27" s="53"/>
    </row>
    <row r="28" spans="1:10" x14ac:dyDescent="0.4">
      <c r="A28" s="73">
        <v>3</v>
      </c>
      <c r="B28" s="74">
        <v>374.35</v>
      </c>
      <c r="C28" s="74" t="s">
        <v>386</v>
      </c>
      <c r="D28" s="75">
        <f>F28/(B28/1000)</f>
        <v>3.7957402836988079</v>
      </c>
      <c r="E28" s="74"/>
      <c r="F28" s="75">
        <f>F34</f>
        <v>1.4209353752026488</v>
      </c>
      <c r="G28" s="74" t="s">
        <v>279</v>
      </c>
      <c r="H28" s="77">
        <f>I28/F28</f>
        <v>0</v>
      </c>
      <c r="I28" s="78">
        <f>SUM(I20,I21,I24,I25)</f>
        <v>0</v>
      </c>
      <c r="J28" s="79"/>
    </row>
    <row r="29" spans="1:10" x14ac:dyDescent="0.4">
      <c r="A29" s="210"/>
      <c r="B29" s="210"/>
      <c r="C29" s="210"/>
      <c r="D29" s="210"/>
      <c r="E29" s="210"/>
      <c r="F29" s="210"/>
      <c r="G29" s="210"/>
      <c r="H29" s="210"/>
      <c r="I29" s="210"/>
      <c r="J29" s="47"/>
    </row>
    <row r="30" spans="1:10" x14ac:dyDescent="0.4">
      <c r="A30" s="46"/>
      <c r="B30" s="47"/>
      <c r="C30" s="47"/>
      <c r="D30" s="47"/>
      <c r="E30" s="47"/>
      <c r="F30" s="47"/>
      <c r="G30" s="47"/>
      <c r="H30" s="47"/>
      <c r="I30" s="47"/>
      <c r="J30" s="47"/>
    </row>
    <row r="31" spans="1:10" x14ac:dyDescent="0.4">
      <c r="A31" s="48" t="s">
        <v>400</v>
      </c>
      <c r="B31" s="49" t="s">
        <v>401</v>
      </c>
      <c r="C31" s="49"/>
      <c r="D31" s="49"/>
      <c r="E31" s="49"/>
      <c r="F31" s="49"/>
      <c r="G31" s="49"/>
      <c r="H31" s="49"/>
      <c r="I31" s="50"/>
      <c r="J31" s="51" t="s">
        <v>377</v>
      </c>
    </row>
    <row r="32" spans="1:10" x14ac:dyDescent="0.4">
      <c r="A32" s="80"/>
      <c r="B32" s="63"/>
      <c r="C32" s="63"/>
      <c r="D32" s="63"/>
      <c r="E32" s="63"/>
      <c r="F32" s="63"/>
      <c r="G32" s="63"/>
      <c r="H32" s="63"/>
      <c r="I32" s="70"/>
      <c r="J32" s="53"/>
    </row>
    <row r="33" spans="1:10" x14ac:dyDescent="0.4">
      <c r="A33" s="71" t="s">
        <v>378</v>
      </c>
      <c r="B33" s="56" t="s">
        <v>379</v>
      </c>
      <c r="C33" s="56" t="s">
        <v>380</v>
      </c>
      <c r="D33" s="56" t="s">
        <v>381</v>
      </c>
      <c r="E33" s="56" t="s">
        <v>380</v>
      </c>
      <c r="F33" s="56" t="s">
        <v>382</v>
      </c>
      <c r="G33" s="56" t="s">
        <v>380</v>
      </c>
      <c r="H33" s="56" t="s">
        <v>383</v>
      </c>
      <c r="I33" s="72" t="s">
        <v>384</v>
      </c>
      <c r="J33" s="53"/>
    </row>
    <row r="34" spans="1:10" x14ac:dyDescent="0.4">
      <c r="A34" s="62">
        <v>3</v>
      </c>
      <c r="B34" s="63">
        <v>374.35</v>
      </c>
      <c r="C34" s="63" t="s">
        <v>386</v>
      </c>
      <c r="D34" s="64">
        <f>F34*1000/B34</f>
        <v>3.7957402836988079</v>
      </c>
      <c r="E34" s="63" t="s">
        <v>387</v>
      </c>
      <c r="F34" s="64">
        <f>D42*B34/1000/B40</f>
        <v>1.4209353752026488</v>
      </c>
      <c r="G34" s="63" t="s">
        <v>279</v>
      </c>
      <c r="H34" s="64">
        <f>H28</f>
        <v>0</v>
      </c>
      <c r="I34" s="66">
        <f>H34*F34</f>
        <v>0</v>
      </c>
      <c r="J34" s="53"/>
    </row>
    <row r="35" spans="1:10" x14ac:dyDescent="0.4">
      <c r="A35" s="62" t="s">
        <v>402</v>
      </c>
      <c r="B35" s="63">
        <v>78.489999999999995</v>
      </c>
      <c r="C35" s="63" t="s">
        <v>386</v>
      </c>
      <c r="D35" s="64">
        <f>F35*1000/B35</f>
        <v>3.7957402836988083</v>
      </c>
      <c r="E35" s="63" t="s">
        <v>387</v>
      </c>
      <c r="F35" s="64">
        <f>B35*D42/1000/B40</f>
        <v>0.29792765486751943</v>
      </c>
      <c r="G35" s="63" t="s">
        <v>279</v>
      </c>
      <c r="H35" s="64">
        <f>'A. Databases'!$H$69</f>
        <v>0</v>
      </c>
      <c r="I35" s="66">
        <f>H35*F35</f>
        <v>0</v>
      </c>
      <c r="J35" s="53"/>
    </row>
    <row r="36" spans="1:10" x14ac:dyDescent="0.4">
      <c r="A36" s="86"/>
      <c r="B36" s="63"/>
      <c r="C36" s="63"/>
      <c r="D36" s="63"/>
      <c r="E36" s="63"/>
      <c r="F36" s="63"/>
      <c r="G36" s="63"/>
      <c r="H36" s="64"/>
      <c r="I36" s="64"/>
      <c r="J36" s="53"/>
    </row>
    <row r="37" spans="1:10" x14ac:dyDescent="0.4">
      <c r="A37" s="71" t="s">
        <v>392</v>
      </c>
      <c r="B37" s="56" t="s">
        <v>379</v>
      </c>
      <c r="C37" s="56" t="s">
        <v>380</v>
      </c>
      <c r="D37" s="56"/>
      <c r="E37" s="56"/>
      <c r="F37" s="56" t="s">
        <v>382</v>
      </c>
      <c r="G37" s="56" t="s">
        <v>380</v>
      </c>
      <c r="H37" s="83"/>
      <c r="I37" s="84"/>
      <c r="J37" s="53"/>
    </row>
    <row r="38" spans="1:10" x14ac:dyDescent="0.4">
      <c r="A38" s="62" t="s">
        <v>394</v>
      </c>
      <c r="B38" s="63">
        <v>0.73636229386857899</v>
      </c>
      <c r="C38" s="63" t="s">
        <v>403</v>
      </c>
      <c r="D38" s="63" t="s">
        <v>160</v>
      </c>
      <c r="E38" s="63" t="s">
        <v>160</v>
      </c>
      <c r="F38" s="85">
        <f>F34*B38</f>
        <v>1.0463232323232323</v>
      </c>
      <c r="G38" s="63" t="s">
        <v>279</v>
      </c>
      <c r="H38" s="64">
        <f>'A. Databases'!H33</f>
        <v>0</v>
      </c>
      <c r="I38" s="66">
        <f>H38*F38</f>
        <v>0</v>
      </c>
      <c r="J38" s="53"/>
    </row>
    <row r="39" spans="1:10" x14ac:dyDescent="0.4">
      <c r="A39" s="80"/>
      <c r="C39" s="63"/>
      <c r="D39" s="63"/>
      <c r="E39" s="63"/>
      <c r="F39" s="63"/>
      <c r="G39" s="63"/>
      <c r="H39" s="64"/>
      <c r="I39" s="66"/>
      <c r="J39" s="53"/>
    </row>
    <row r="40" spans="1:10" x14ac:dyDescent="0.4">
      <c r="A40" s="80" t="s">
        <v>395</v>
      </c>
      <c r="B40" s="69">
        <v>0.99</v>
      </c>
      <c r="C40" s="63"/>
      <c r="D40" s="63"/>
      <c r="E40" s="63"/>
      <c r="F40" s="63"/>
      <c r="G40" s="63"/>
      <c r="H40" s="64"/>
      <c r="I40" s="66"/>
      <c r="J40" s="53"/>
    </row>
    <row r="41" spans="1:10" x14ac:dyDescent="0.4">
      <c r="A41" s="68" t="s">
        <v>396</v>
      </c>
      <c r="B41" s="63" t="s">
        <v>379</v>
      </c>
      <c r="C41" s="63" t="s">
        <v>380</v>
      </c>
      <c r="D41" s="63" t="s">
        <v>381</v>
      </c>
      <c r="E41" s="63" t="s">
        <v>380</v>
      </c>
      <c r="F41" s="63" t="s">
        <v>382</v>
      </c>
      <c r="G41" s="63" t="s">
        <v>380</v>
      </c>
      <c r="H41" s="64"/>
      <c r="I41" s="66"/>
      <c r="J41" s="53"/>
    </row>
    <row r="42" spans="1:10" x14ac:dyDescent="0.4">
      <c r="A42" s="87">
        <v>4</v>
      </c>
      <c r="B42" s="74">
        <v>356.34</v>
      </c>
      <c r="C42" s="74" t="s">
        <v>386</v>
      </c>
      <c r="D42" s="74">
        <f>F42/(B42/1000)</f>
        <v>3.7577828808618197</v>
      </c>
      <c r="E42" s="74" t="s">
        <v>387</v>
      </c>
      <c r="F42" s="75">
        <f>F48</f>
        <v>1.3390483517663008</v>
      </c>
      <c r="G42" s="74" t="s">
        <v>279</v>
      </c>
      <c r="H42" s="77">
        <f>I42/F42</f>
        <v>0</v>
      </c>
      <c r="I42" s="88">
        <f>SUM(I34,I35,I38,I39,I36)</f>
        <v>0</v>
      </c>
      <c r="J42" s="79"/>
    </row>
    <row r="43" spans="1:10" x14ac:dyDescent="0.4">
      <c r="A43" s="210"/>
      <c r="B43" s="210"/>
      <c r="C43" s="210"/>
      <c r="D43" s="210"/>
      <c r="E43" s="210"/>
      <c r="F43" s="210"/>
      <c r="G43" s="210"/>
      <c r="H43" s="210"/>
      <c r="I43" s="210"/>
      <c r="J43" s="47"/>
    </row>
    <row r="44" spans="1:10" x14ac:dyDescent="0.4">
      <c r="A44" s="46"/>
      <c r="B44" s="47"/>
      <c r="C44" s="47"/>
      <c r="D44" s="47"/>
      <c r="E44" s="47"/>
      <c r="F44" s="47"/>
      <c r="G44" s="47"/>
      <c r="H44" s="47"/>
      <c r="I44" s="47"/>
      <c r="J44" s="47"/>
    </row>
    <row r="45" spans="1:10" x14ac:dyDescent="0.4">
      <c r="A45" s="48" t="s">
        <v>404</v>
      </c>
      <c r="B45" s="49" t="s">
        <v>405</v>
      </c>
      <c r="C45" s="49"/>
      <c r="D45" s="49"/>
      <c r="E45" s="49"/>
      <c r="F45" s="49"/>
      <c r="G45" s="49"/>
      <c r="H45" s="49"/>
      <c r="I45" s="50"/>
      <c r="J45" s="51" t="s">
        <v>377</v>
      </c>
    </row>
    <row r="46" spans="1:10" x14ac:dyDescent="0.4">
      <c r="A46" s="80"/>
      <c r="B46" s="63"/>
      <c r="C46" s="63"/>
      <c r="D46" s="63"/>
      <c r="E46" s="63"/>
      <c r="F46" s="63"/>
      <c r="G46" s="63"/>
      <c r="H46" s="63"/>
      <c r="I46" s="70"/>
      <c r="J46" s="53"/>
    </row>
    <row r="47" spans="1:10" x14ac:dyDescent="0.4">
      <c r="A47" s="71" t="s">
        <v>378</v>
      </c>
      <c r="B47" s="56" t="s">
        <v>379</v>
      </c>
      <c r="C47" s="56" t="s">
        <v>380</v>
      </c>
      <c r="D47" s="56" t="s">
        <v>381</v>
      </c>
      <c r="E47" s="56" t="s">
        <v>380</v>
      </c>
      <c r="F47" s="56" t="s">
        <v>382</v>
      </c>
      <c r="G47" s="56" t="s">
        <v>380</v>
      </c>
      <c r="H47" s="56" t="s">
        <v>383</v>
      </c>
      <c r="I47" s="72" t="s">
        <v>384</v>
      </c>
      <c r="J47" s="53"/>
    </row>
    <row r="48" spans="1:10" x14ac:dyDescent="0.4">
      <c r="A48" s="62">
        <v>4</v>
      </c>
      <c r="B48" s="63">
        <v>356.34</v>
      </c>
      <c r="C48" s="63" t="s">
        <v>386</v>
      </c>
      <c r="D48" s="64">
        <f>D58/B56</f>
        <v>3.7577828808618201</v>
      </c>
      <c r="E48" s="63" t="s">
        <v>387</v>
      </c>
      <c r="F48" s="64">
        <f>D48*B48/1000</f>
        <v>1.3390483517663008</v>
      </c>
      <c r="G48" s="63" t="s">
        <v>279</v>
      </c>
      <c r="H48" s="64">
        <f>H42</f>
        <v>0</v>
      </c>
      <c r="I48" s="66">
        <f>H48*F48</f>
        <v>0</v>
      </c>
      <c r="J48" s="53"/>
    </row>
    <row r="49" spans="1:10" x14ac:dyDescent="0.4">
      <c r="A49" s="62" t="s">
        <v>406</v>
      </c>
      <c r="B49" s="15">
        <v>386.55099999999999</v>
      </c>
      <c r="C49" s="63" t="s">
        <v>386</v>
      </c>
      <c r="D49" s="64">
        <f>0.7*D48</f>
        <v>2.6304480166032738</v>
      </c>
      <c r="E49" s="63" t="s">
        <v>387</v>
      </c>
      <c r="F49" s="64">
        <f>D49*B49/1000</f>
        <v>1.0168023112660121</v>
      </c>
      <c r="G49" s="63" t="s">
        <v>279</v>
      </c>
      <c r="H49" s="64">
        <f>'B.4. Precursors'!G71</f>
        <v>0</v>
      </c>
      <c r="I49" s="66">
        <f>H49*F49</f>
        <v>0</v>
      </c>
      <c r="J49" s="53"/>
    </row>
    <row r="50" spans="1:10" x14ac:dyDescent="0.4">
      <c r="A50" s="62" t="s">
        <v>407</v>
      </c>
      <c r="B50" s="63">
        <v>20</v>
      </c>
      <c r="C50" s="63" t="s">
        <v>390</v>
      </c>
      <c r="D50" s="64"/>
      <c r="E50" s="63"/>
      <c r="F50" s="64">
        <f>B50*F48*0.096</f>
        <v>2.5709728353912973</v>
      </c>
      <c r="G50" s="63" t="s">
        <v>279</v>
      </c>
      <c r="H50" s="64">
        <f>'A. Databases'!H107</f>
        <v>0</v>
      </c>
      <c r="I50" s="66">
        <f>H50*F50</f>
        <v>0</v>
      </c>
      <c r="J50" s="53" t="s">
        <v>408</v>
      </c>
    </row>
    <row r="51" spans="1:10" x14ac:dyDescent="0.4">
      <c r="A51" s="62" t="s">
        <v>409</v>
      </c>
      <c r="B51" s="63">
        <v>210.03</v>
      </c>
      <c r="C51" s="63" t="s">
        <v>386</v>
      </c>
      <c r="D51" s="64">
        <v>4.3010000000000002</v>
      </c>
      <c r="E51" s="63" t="s">
        <v>387</v>
      </c>
      <c r="F51" s="64">
        <f>D51*B51/1000</f>
        <v>0.90333903000000004</v>
      </c>
      <c r="G51" s="63" t="s">
        <v>279</v>
      </c>
      <c r="H51" s="64">
        <f>'B.4. Precursors'!G42</f>
        <v>0</v>
      </c>
      <c r="I51" s="66">
        <f>H51*F51</f>
        <v>0</v>
      </c>
      <c r="J51" s="53"/>
    </row>
    <row r="52" spans="1:10" x14ac:dyDescent="0.4">
      <c r="A52" s="62" t="s">
        <v>410</v>
      </c>
      <c r="B52" s="15">
        <v>101.19</v>
      </c>
      <c r="C52" s="15" t="s">
        <v>386</v>
      </c>
      <c r="D52" s="89">
        <f>1*D48</f>
        <v>3.7577828808618201</v>
      </c>
      <c r="E52" s="89" t="s">
        <v>387</v>
      </c>
      <c r="F52" s="89">
        <f>D52*B52/1000</f>
        <v>0.38025004971440757</v>
      </c>
      <c r="G52" s="15" t="s">
        <v>279</v>
      </c>
      <c r="H52" s="64">
        <f>'A. Databases'!$H$70</f>
        <v>0</v>
      </c>
      <c r="I52" s="66">
        <f>H52*F52</f>
        <v>0</v>
      </c>
      <c r="J52" s="53"/>
    </row>
    <row r="53" spans="1:10" x14ac:dyDescent="0.4">
      <c r="A53" s="71" t="s">
        <v>392</v>
      </c>
      <c r="B53" s="56" t="s">
        <v>379</v>
      </c>
      <c r="C53" s="56" t="s">
        <v>380</v>
      </c>
      <c r="D53" s="56"/>
      <c r="E53" s="56"/>
      <c r="F53" s="56" t="s">
        <v>382</v>
      </c>
      <c r="G53" s="56" t="s">
        <v>380</v>
      </c>
      <c r="H53" s="83"/>
      <c r="I53" s="84"/>
      <c r="J53" s="53"/>
    </row>
    <row r="54" spans="1:10" x14ac:dyDescent="0.4">
      <c r="A54" s="62" t="s">
        <v>393</v>
      </c>
      <c r="B54" s="15">
        <v>4.46</v>
      </c>
      <c r="C54" s="15" t="s">
        <v>403</v>
      </c>
      <c r="D54" s="15" t="s">
        <v>160</v>
      </c>
      <c r="E54" s="15" t="s">
        <v>160</v>
      </c>
      <c r="F54" s="15">
        <f>F48*B54</f>
        <v>5.9721556488777017</v>
      </c>
      <c r="G54" s="15" t="s">
        <v>279</v>
      </c>
      <c r="H54" s="64">
        <f>'A. Databases'!H46</f>
        <v>0</v>
      </c>
      <c r="I54" s="66">
        <f>H54*F54</f>
        <v>0</v>
      </c>
      <c r="J54" s="53"/>
    </row>
    <row r="55" spans="1:10" x14ac:dyDescent="0.4">
      <c r="A55" s="62" t="s">
        <v>394</v>
      </c>
      <c r="B55" s="64">
        <v>4.4183378281251198</v>
      </c>
      <c r="C55" s="63" t="s">
        <v>403</v>
      </c>
      <c r="D55" s="63"/>
      <c r="E55" s="63"/>
      <c r="F55" s="63">
        <f>F48*B55</f>
        <v>5.9163679862976384</v>
      </c>
      <c r="G55" s="63" t="s">
        <v>279</v>
      </c>
      <c r="H55" s="64">
        <f>'A. Databases'!H33</f>
        <v>0</v>
      </c>
      <c r="I55" s="66">
        <f>H55*F55</f>
        <v>0</v>
      </c>
      <c r="J55" s="53"/>
    </row>
    <row r="56" spans="1:10" x14ac:dyDescent="0.4">
      <c r="A56" s="80" t="s">
        <v>395</v>
      </c>
      <c r="B56" s="69">
        <v>0.97</v>
      </c>
      <c r="C56" s="63"/>
      <c r="D56" s="63"/>
      <c r="E56" s="63"/>
      <c r="F56" s="63"/>
      <c r="G56" s="63"/>
      <c r="H56" s="64"/>
      <c r="I56" s="66"/>
      <c r="J56" s="53"/>
    </row>
    <row r="57" spans="1:10" x14ac:dyDescent="0.4">
      <c r="A57" s="68" t="s">
        <v>396</v>
      </c>
      <c r="B57" s="63" t="s">
        <v>379</v>
      </c>
      <c r="C57" s="63" t="s">
        <v>380</v>
      </c>
      <c r="D57" s="63" t="s">
        <v>381</v>
      </c>
      <c r="E57" s="63" t="s">
        <v>380</v>
      </c>
      <c r="F57" s="63" t="s">
        <v>382</v>
      </c>
      <c r="G57" s="63" t="s">
        <v>380</v>
      </c>
      <c r="H57" s="64"/>
      <c r="I57" s="66"/>
      <c r="J57" s="53"/>
    </row>
    <row r="58" spans="1:10" x14ac:dyDescent="0.4">
      <c r="A58" s="87">
        <v>5</v>
      </c>
      <c r="B58" s="74">
        <v>372.34</v>
      </c>
      <c r="C58" s="74"/>
      <c r="D58" s="74">
        <f>F58/(B58/1000)</f>
        <v>3.6450493944359654</v>
      </c>
      <c r="E58" s="74" t="s">
        <v>387</v>
      </c>
      <c r="F58" s="76">
        <f>F64</f>
        <v>1.3571976915242872</v>
      </c>
      <c r="G58" s="74" t="s">
        <v>279</v>
      </c>
      <c r="H58" s="77">
        <f>I58/F58</f>
        <v>0</v>
      </c>
      <c r="I58" s="78">
        <f>SUM(I48,I49,I54,I55,I50,I51,I52)</f>
        <v>0</v>
      </c>
      <c r="J58" s="79"/>
    </row>
    <row r="59" spans="1:10" x14ac:dyDescent="0.4">
      <c r="A59" s="210"/>
      <c r="B59" s="210"/>
      <c r="C59" s="210"/>
      <c r="D59" s="210"/>
      <c r="E59" s="210"/>
      <c r="F59" s="210"/>
      <c r="G59" s="210"/>
      <c r="H59" s="210"/>
      <c r="I59" s="210"/>
      <c r="J59" s="47"/>
    </row>
    <row r="60" spans="1:10" x14ac:dyDescent="0.4">
      <c r="A60" s="46"/>
      <c r="B60" s="47"/>
      <c r="C60" s="47"/>
      <c r="D60" s="47"/>
      <c r="E60" s="47"/>
      <c r="F60" s="47"/>
      <c r="G60" s="47"/>
      <c r="H60" s="47"/>
      <c r="I60" s="47"/>
      <c r="J60" s="47"/>
    </row>
    <row r="61" spans="1:10" x14ac:dyDescent="0.4">
      <c r="A61" s="48" t="s">
        <v>411</v>
      </c>
      <c r="B61" s="49" t="s">
        <v>412</v>
      </c>
      <c r="C61" s="49"/>
      <c r="D61" s="49"/>
      <c r="E61" s="49"/>
      <c r="F61" s="49"/>
      <c r="G61" s="49"/>
      <c r="H61" s="49"/>
      <c r="I61" s="50"/>
      <c r="J61" s="51" t="s">
        <v>377</v>
      </c>
    </row>
    <row r="62" spans="1:10" x14ac:dyDescent="0.4">
      <c r="A62" s="80"/>
      <c r="B62" s="63"/>
      <c r="C62" s="63"/>
      <c r="D62" s="63"/>
      <c r="E62" s="63"/>
      <c r="F62" s="63"/>
      <c r="G62" s="63"/>
      <c r="H62" s="63"/>
      <c r="I62" s="70"/>
      <c r="J62" s="53"/>
    </row>
    <row r="63" spans="1:10" x14ac:dyDescent="0.4">
      <c r="A63" s="71" t="s">
        <v>378</v>
      </c>
      <c r="B63" s="56" t="s">
        <v>379</v>
      </c>
      <c r="C63" s="56" t="s">
        <v>380</v>
      </c>
      <c r="D63" s="56" t="s">
        <v>381</v>
      </c>
      <c r="E63" s="56" t="s">
        <v>380</v>
      </c>
      <c r="F63" s="56" t="s">
        <v>382</v>
      </c>
      <c r="G63" s="56" t="s">
        <v>380</v>
      </c>
      <c r="H63" s="56" t="s">
        <v>383</v>
      </c>
      <c r="I63" s="72" t="s">
        <v>384</v>
      </c>
      <c r="J63" s="53"/>
    </row>
    <row r="64" spans="1:10" x14ac:dyDescent="0.4">
      <c r="A64" s="62">
        <v>5</v>
      </c>
      <c r="B64" s="63">
        <v>372.34</v>
      </c>
      <c r="C64" s="63" t="s">
        <v>386</v>
      </c>
      <c r="D64" s="64">
        <f>D74/B72</f>
        <v>3.6450493944359654</v>
      </c>
      <c r="E64" s="64" t="s">
        <v>387</v>
      </c>
      <c r="F64" s="64">
        <f>D64*B64/1000</f>
        <v>1.3571976915242872</v>
      </c>
      <c r="G64" s="63" t="s">
        <v>279</v>
      </c>
      <c r="H64" s="64">
        <f>H58</f>
        <v>0</v>
      </c>
      <c r="I64" s="66">
        <f>H64*F64</f>
        <v>0</v>
      </c>
      <c r="J64" s="90"/>
    </row>
    <row r="65" spans="1:10" x14ac:dyDescent="0.4">
      <c r="A65" s="62" t="s">
        <v>413</v>
      </c>
      <c r="B65" s="63">
        <v>192.26</v>
      </c>
      <c r="C65" s="63" t="s">
        <v>386</v>
      </c>
      <c r="D65" s="64">
        <f>1.05*D64</f>
        <v>3.8273018641577639</v>
      </c>
      <c r="E65" s="64" t="s">
        <v>387</v>
      </c>
      <c r="F65" s="64">
        <f>D65*B65/1000</f>
        <v>0.73583705640297159</v>
      </c>
      <c r="G65" s="63" t="s">
        <v>279</v>
      </c>
      <c r="H65" s="64">
        <f>('A. Databases'!$H$64+'A. Databases'!$H$62+2*'A. Databases'!$H$63)/0.95/0.95</f>
        <v>0</v>
      </c>
      <c r="I65" s="66">
        <f>H65*F65</f>
        <v>0</v>
      </c>
      <c r="J65" s="90"/>
    </row>
    <row r="66" spans="1:10" x14ac:dyDescent="0.4">
      <c r="A66" s="62" t="s">
        <v>410</v>
      </c>
      <c r="B66" s="63">
        <v>101.19</v>
      </c>
      <c r="C66" s="63" t="s">
        <v>386</v>
      </c>
      <c r="D66" s="91">
        <f>4.4*D64</f>
        <v>16.038217335518251</v>
      </c>
      <c r="E66" s="64" t="s">
        <v>387</v>
      </c>
      <c r="F66" s="64">
        <f>D66*B66/1000</f>
        <v>1.6229072121810919</v>
      </c>
      <c r="G66" s="63" t="s">
        <v>279</v>
      </c>
      <c r="H66" s="64">
        <f>'A. Databases'!$H$70</f>
        <v>0</v>
      </c>
      <c r="I66" s="66">
        <f>H66*F66</f>
        <v>0</v>
      </c>
      <c r="J66" s="90"/>
    </row>
    <row r="67" spans="1:10" x14ac:dyDescent="0.4">
      <c r="A67" s="62" t="s">
        <v>414</v>
      </c>
      <c r="B67" s="63">
        <v>191.7</v>
      </c>
      <c r="C67" s="63" t="s">
        <v>386</v>
      </c>
      <c r="D67" s="64">
        <f>1.1*D64</f>
        <v>4.0095543338795627</v>
      </c>
      <c r="E67" s="63" t="s">
        <v>387</v>
      </c>
      <c r="F67" s="64">
        <f>D67*B67/1000</f>
        <v>0.76863156580471215</v>
      </c>
      <c r="G67" s="63" t="s">
        <v>279</v>
      </c>
      <c r="H67" s="64">
        <f>'B.4. Precursors'!I98</f>
        <v>0</v>
      </c>
      <c r="I67" s="66">
        <f>H67*F67</f>
        <v>0</v>
      </c>
      <c r="J67" s="90"/>
    </row>
    <row r="68" spans="1:10" x14ac:dyDescent="0.4">
      <c r="A68" s="80"/>
      <c r="B68" s="63"/>
      <c r="C68" s="63"/>
      <c r="D68" s="63"/>
      <c r="E68" s="63"/>
      <c r="F68" s="63"/>
      <c r="G68" s="63"/>
      <c r="H68" s="64"/>
      <c r="I68" s="66"/>
      <c r="J68" s="90"/>
    </row>
    <row r="69" spans="1:10" x14ac:dyDescent="0.4">
      <c r="A69" s="71" t="s">
        <v>392</v>
      </c>
      <c r="B69" s="56" t="s">
        <v>379</v>
      </c>
      <c r="C69" s="56" t="s">
        <v>380</v>
      </c>
      <c r="D69" s="56"/>
      <c r="E69" s="56"/>
      <c r="F69" s="56" t="s">
        <v>382</v>
      </c>
      <c r="G69" s="56" t="s">
        <v>380</v>
      </c>
      <c r="H69" s="83"/>
      <c r="I69" s="84"/>
      <c r="J69" s="90"/>
    </row>
    <row r="70" spans="1:10" x14ac:dyDescent="0.4">
      <c r="A70" s="62" t="s">
        <v>393</v>
      </c>
      <c r="B70" s="63">
        <v>8.5500000000000007</v>
      </c>
      <c r="C70" s="63" t="s">
        <v>403</v>
      </c>
      <c r="D70" s="63" t="s">
        <v>160</v>
      </c>
      <c r="E70" s="63" t="s">
        <v>160</v>
      </c>
      <c r="F70" s="63">
        <f>F64*B70</f>
        <v>11.604040262532656</v>
      </c>
      <c r="G70" s="63" t="s">
        <v>279</v>
      </c>
      <c r="H70" s="64">
        <f>'A. Databases'!H46</f>
        <v>0</v>
      </c>
      <c r="I70" s="66">
        <f>H70*F70</f>
        <v>0</v>
      </c>
      <c r="J70" s="90"/>
    </row>
    <row r="71" spans="1:10" x14ac:dyDescent="0.4">
      <c r="A71" s="80"/>
      <c r="B71" s="63"/>
      <c r="C71" s="63"/>
      <c r="D71" s="63"/>
      <c r="E71" s="63"/>
      <c r="F71" s="63"/>
      <c r="G71" s="63"/>
      <c r="H71" s="64"/>
      <c r="I71" s="66"/>
      <c r="J71" s="90"/>
    </row>
    <row r="72" spans="1:10" x14ac:dyDescent="0.4">
      <c r="A72" s="80" t="s">
        <v>395</v>
      </c>
      <c r="B72" s="69">
        <v>0.8</v>
      </c>
      <c r="C72" s="63"/>
      <c r="D72" s="63"/>
      <c r="E72" s="63"/>
      <c r="F72" s="63"/>
      <c r="G72" s="63"/>
      <c r="H72" s="64"/>
      <c r="I72" s="66"/>
      <c r="J72" s="92"/>
    </row>
    <row r="73" spans="1:10" x14ac:dyDescent="0.4">
      <c r="A73" s="68" t="s">
        <v>396</v>
      </c>
      <c r="B73" s="63" t="s">
        <v>379</v>
      </c>
      <c r="C73" s="63" t="s">
        <v>380</v>
      </c>
      <c r="D73" s="63" t="s">
        <v>381</v>
      </c>
      <c r="E73" s="63" t="s">
        <v>380</v>
      </c>
      <c r="F73" s="63" t="s">
        <v>382</v>
      </c>
      <c r="G73" s="63" t="s">
        <v>380</v>
      </c>
      <c r="H73" s="64"/>
      <c r="I73" s="66"/>
      <c r="J73" s="53"/>
    </row>
    <row r="74" spans="1:10" x14ac:dyDescent="0.4">
      <c r="A74" s="87">
        <v>6</v>
      </c>
      <c r="B74" s="74">
        <v>530.52</v>
      </c>
      <c r="C74" s="74" t="s">
        <v>386</v>
      </c>
      <c r="D74" s="75">
        <f>F74/(B74/1000)</f>
        <v>2.9160395155487726</v>
      </c>
      <c r="E74" s="74" t="s">
        <v>387</v>
      </c>
      <c r="F74" s="74">
        <f>F80</f>
        <v>1.5470172837889349</v>
      </c>
      <c r="G74" s="74" t="s">
        <v>279</v>
      </c>
      <c r="H74" s="77">
        <f>(I74/F74)</f>
        <v>0</v>
      </c>
      <c r="I74" s="78">
        <f>SUM(I64,I65,I70,I71,I66,I67)</f>
        <v>0</v>
      </c>
      <c r="J74" s="79"/>
    </row>
    <row r="75" spans="1:10" x14ac:dyDescent="0.4">
      <c r="A75" s="210"/>
      <c r="B75" s="210"/>
      <c r="C75" s="210"/>
      <c r="D75" s="210"/>
      <c r="E75" s="210"/>
      <c r="F75" s="210"/>
      <c r="G75" s="210"/>
      <c r="H75" s="210"/>
      <c r="I75" s="210"/>
      <c r="J75" s="47"/>
    </row>
    <row r="76" spans="1:10" x14ac:dyDescent="0.4">
      <c r="A76" s="46"/>
      <c r="B76" s="47"/>
      <c r="C76" s="47"/>
      <c r="D76" s="47"/>
      <c r="E76" s="47"/>
      <c r="F76" s="47"/>
      <c r="G76" s="47"/>
      <c r="H76" s="47"/>
      <c r="I76" s="47"/>
      <c r="J76" s="47"/>
    </row>
    <row r="77" spans="1:10" x14ac:dyDescent="0.4">
      <c r="A77" s="48" t="s">
        <v>415</v>
      </c>
      <c r="B77" s="49" t="s">
        <v>416</v>
      </c>
      <c r="C77" s="49"/>
      <c r="D77" s="49"/>
      <c r="E77" s="49"/>
      <c r="F77" s="49"/>
      <c r="G77" s="49"/>
      <c r="H77" s="49"/>
      <c r="I77" s="50"/>
      <c r="J77" s="51" t="s">
        <v>377</v>
      </c>
    </row>
    <row r="78" spans="1:10" x14ac:dyDescent="0.4">
      <c r="A78" s="80"/>
      <c r="B78" s="63"/>
      <c r="C78" s="63"/>
      <c r="D78" s="63"/>
      <c r="E78" s="63"/>
      <c r="F78" s="63"/>
      <c r="G78" s="63"/>
      <c r="H78" s="63"/>
      <c r="I78" s="70"/>
      <c r="J78" s="53"/>
    </row>
    <row r="79" spans="1:10" x14ac:dyDescent="0.4">
      <c r="A79" s="68" t="s">
        <v>378</v>
      </c>
      <c r="B79" s="63" t="s">
        <v>379</v>
      </c>
      <c r="C79" s="63" t="s">
        <v>380</v>
      </c>
      <c r="D79" s="63" t="s">
        <v>381</v>
      </c>
      <c r="E79" s="63" t="s">
        <v>380</v>
      </c>
      <c r="F79" s="63" t="s">
        <v>382</v>
      </c>
      <c r="G79" s="63" t="s">
        <v>380</v>
      </c>
      <c r="H79" s="63" t="s">
        <v>383</v>
      </c>
      <c r="I79" s="70" t="s">
        <v>384</v>
      </c>
      <c r="J79" s="53"/>
    </row>
    <row r="80" spans="1:10" x14ac:dyDescent="0.4">
      <c r="A80" s="93" t="s">
        <v>417</v>
      </c>
      <c r="B80" s="94">
        <v>530.19000000000005</v>
      </c>
      <c r="C80" s="94" t="s">
        <v>386</v>
      </c>
      <c r="D80" s="95">
        <f>D91/B89</f>
        <v>2.9178545121351491</v>
      </c>
      <c r="E80" s="94" t="s">
        <v>387</v>
      </c>
      <c r="F80" s="94">
        <f>D80*B80/1000</f>
        <v>1.5470172837889349</v>
      </c>
      <c r="G80" s="94" t="s">
        <v>279</v>
      </c>
      <c r="H80" s="95">
        <f>H74</f>
        <v>0</v>
      </c>
      <c r="I80" s="96">
        <f>H80*F80</f>
        <v>0</v>
      </c>
      <c r="J80" s="41"/>
    </row>
    <row r="81" spans="1:10" x14ac:dyDescent="0.4">
      <c r="A81" s="62" t="s">
        <v>418</v>
      </c>
      <c r="B81" s="63">
        <v>188.12</v>
      </c>
      <c r="C81" s="63" t="s">
        <v>386</v>
      </c>
      <c r="D81" s="64">
        <f>3*D80</f>
        <v>8.7535635364054478</v>
      </c>
      <c r="E81" s="63" t="s">
        <v>387</v>
      </c>
      <c r="F81" s="63">
        <f>D81*B81/1000</f>
        <v>1.6467203724685928</v>
      </c>
      <c r="G81" s="63" t="s">
        <v>279</v>
      </c>
      <c r="H81" s="59">
        <f>'B.4. Precursors'!$G$48</f>
        <v>0</v>
      </c>
      <c r="I81" s="61">
        <f>H81*F81</f>
        <v>0</v>
      </c>
      <c r="J81" s="41"/>
    </row>
    <row r="82" spans="1:10" x14ac:dyDescent="0.4">
      <c r="A82" s="62" t="s">
        <v>419</v>
      </c>
      <c r="B82" s="63"/>
      <c r="C82" s="63"/>
      <c r="D82" s="63"/>
      <c r="E82" s="63" t="s">
        <v>420</v>
      </c>
      <c r="F82" s="63">
        <f>F80*0.03</f>
        <v>4.6410518513668043E-2</v>
      </c>
      <c r="G82" s="63" t="s">
        <v>279</v>
      </c>
      <c r="H82" s="64">
        <f>'B.1. Chiral Cat This Work'!$U$131</f>
        <v>0</v>
      </c>
      <c r="I82" s="66">
        <f>H82*F82</f>
        <v>0</v>
      </c>
      <c r="J82" s="41"/>
    </row>
    <row r="83" spans="1:10" x14ac:dyDescent="0.4">
      <c r="A83" s="97" t="s">
        <v>421</v>
      </c>
      <c r="B83" s="63">
        <v>74.123000000000005</v>
      </c>
      <c r="C83" s="63" t="s">
        <v>386</v>
      </c>
      <c r="D83" s="98">
        <f>D80</f>
        <v>2.9178545121351491</v>
      </c>
      <c r="E83" s="99" t="s">
        <v>387</v>
      </c>
      <c r="F83" s="63">
        <f>D83*B83/1000</f>
        <v>0.21628013000299368</v>
      </c>
      <c r="G83" s="99" t="s">
        <v>279</v>
      </c>
      <c r="H83" s="98">
        <f>'A. Databases'!$H$92</f>
        <v>0</v>
      </c>
      <c r="I83" s="100">
        <f>H83*F83</f>
        <v>0</v>
      </c>
      <c r="J83" s="41"/>
    </row>
    <row r="84" spans="1:10" x14ac:dyDescent="0.4">
      <c r="A84" s="80"/>
      <c r="B84" s="63"/>
      <c r="C84" s="63"/>
      <c r="D84" s="63"/>
      <c r="E84" s="63"/>
      <c r="F84" s="63"/>
      <c r="G84" s="63"/>
      <c r="H84" s="64"/>
      <c r="I84" s="66"/>
      <c r="J84" s="41"/>
    </row>
    <row r="85" spans="1:10" x14ac:dyDescent="0.4">
      <c r="A85" s="101" t="s">
        <v>392</v>
      </c>
      <c r="B85" s="74" t="s">
        <v>379</v>
      </c>
      <c r="C85" s="74" t="s">
        <v>380</v>
      </c>
      <c r="D85" s="74"/>
      <c r="E85" s="74"/>
      <c r="F85" s="74"/>
      <c r="G85" s="74" t="s">
        <v>380</v>
      </c>
      <c r="H85" s="75"/>
      <c r="I85" s="78"/>
      <c r="J85" s="41"/>
    </row>
    <row r="86" spans="1:10" x14ac:dyDescent="0.4">
      <c r="A86" s="86" t="s">
        <v>422</v>
      </c>
      <c r="B86" s="64">
        <v>4.9866622305211301</v>
      </c>
      <c r="C86" s="63" t="s">
        <v>403</v>
      </c>
      <c r="D86" s="63" t="s">
        <v>160</v>
      </c>
      <c r="E86" s="63" t="s">
        <v>160</v>
      </c>
      <c r="F86" s="64">
        <f>B86*F80</f>
        <v>7.7144526590336699</v>
      </c>
      <c r="G86" s="63" t="s">
        <v>279</v>
      </c>
      <c r="H86" s="64">
        <f>'A. Databases'!$H$41</f>
        <v>0</v>
      </c>
      <c r="I86" s="66">
        <f>H86*F86</f>
        <v>0</v>
      </c>
      <c r="J86" s="41"/>
    </row>
    <row r="87" spans="1:10" x14ac:dyDescent="0.4">
      <c r="A87" s="86" t="s">
        <v>423</v>
      </c>
      <c r="B87" s="64">
        <v>6.90644753013071</v>
      </c>
      <c r="C87" s="63" t="s">
        <v>403</v>
      </c>
      <c r="D87" s="63" t="s">
        <v>160</v>
      </c>
      <c r="E87" s="63" t="s">
        <v>160</v>
      </c>
      <c r="F87" s="64">
        <f>B87*F80</f>
        <v>10.68439369869361</v>
      </c>
      <c r="G87" s="63" t="s">
        <v>279</v>
      </c>
      <c r="H87" s="64">
        <f>'A. Databases'!$H$39</f>
        <v>0</v>
      </c>
      <c r="I87" s="66">
        <f>H87*F87</f>
        <v>0</v>
      </c>
      <c r="J87" s="41"/>
    </row>
    <row r="88" spans="1:10" x14ac:dyDescent="0.4">
      <c r="A88" s="86" t="s">
        <v>424</v>
      </c>
      <c r="B88" s="64">
        <v>2.7168674698795199</v>
      </c>
      <c r="C88" s="63" t="s">
        <v>403</v>
      </c>
      <c r="D88" s="63"/>
      <c r="E88" s="63"/>
      <c r="F88" s="64">
        <f>B88*F80</f>
        <v>4.2030409336675305</v>
      </c>
      <c r="G88" s="63" t="s">
        <v>279</v>
      </c>
      <c r="H88" s="64">
        <f>'A. Databases'!H34</f>
        <v>0</v>
      </c>
      <c r="I88" s="66">
        <f>H88*F88</f>
        <v>0</v>
      </c>
      <c r="J88" s="41"/>
    </row>
    <row r="89" spans="1:10" x14ac:dyDescent="0.4">
      <c r="A89" s="86" t="s">
        <v>395</v>
      </c>
      <c r="B89" s="102">
        <f>0.675*0.93</f>
        <v>0.62775000000000003</v>
      </c>
      <c r="C89" s="63" t="s">
        <v>425</v>
      </c>
      <c r="D89" s="103"/>
      <c r="E89" s="63"/>
      <c r="F89" s="63"/>
      <c r="G89" s="63"/>
      <c r="H89" s="64"/>
      <c r="I89" s="66"/>
      <c r="J89" s="41"/>
    </row>
    <row r="90" spans="1:10" x14ac:dyDescent="0.4">
      <c r="A90" s="68" t="s">
        <v>396</v>
      </c>
      <c r="B90" s="63" t="s">
        <v>379</v>
      </c>
      <c r="C90" s="63" t="s">
        <v>380</v>
      </c>
      <c r="D90" s="63" t="s">
        <v>381</v>
      </c>
      <c r="E90" s="63" t="s">
        <v>380</v>
      </c>
      <c r="F90" s="63" t="s">
        <v>382</v>
      </c>
      <c r="G90" s="63" t="s">
        <v>380</v>
      </c>
      <c r="H90" s="64"/>
      <c r="I90" s="66"/>
      <c r="J90" s="41"/>
    </row>
    <row r="91" spans="1:10" x14ac:dyDescent="0.4">
      <c r="A91" s="87" t="s">
        <v>426</v>
      </c>
      <c r="B91" s="74">
        <v>586.59</v>
      </c>
      <c r="C91" s="74" t="s">
        <v>386</v>
      </c>
      <c r="D91" s="74">
        <f>F91*1000/B91</f>
        <v>1.83168316999284</v>
      </c>
      <c r="E91" s="74" t="s">
        <v>387</v>
      </c>
      <c r="F91" s="104">
        <f>F97</f>
        <v>1.0744470306861</v>
      </c>
      <c r="G91" s="74" t="s">
        <v>279</v>
      </c>
      <c r="H91" s="77">
        <f>I91/F91</f>
        <v>0</v>
      </c>
      <c r="I91" s="78">
        <f>SUM(I80:I90)</f>
        <v>0</v>
      </c>
      <c r="J91" s="45"/>
    </row>
    <row r="92" spans="1:10" x14ac:dyDescent="0.4">
      <c r="A92" s="210"/>
      <c r="B92" s="210"/>
      <c r="C92" s="210"/>
      <c r="D92" s="210"/>
      <c r="E92" s="210"/>
      <c r="F92" s="210"/>
      <c r="G92" s="210"/>
      <c r="H92" s="210"/>
      <c r="I92" s="210"/>
      <c r="J92" s="47"/>
    </row>
    <row r="93" spans="1:10" x14ac:dyDescent="0.4">
      <c r="A93" s="46"/>
      <c r="B93" s="47"/>
      <c r="C93" s="47"/>
      <c r="D93" s="47"/>
      <c r="E93" s="47"/>
      <c r="F93" s="47"/>
      <c r="G93" s="47"/>
      <c r="H93" s="47"/>
      <c r="I93" s="47"/>
      <c r="J93" s="47"/>
    </row>
    <row r="94" spans="1:10" x14ac:dyDescent="0.4">
      <c r="A94" s="48" t="s">
        <v>427</v>
      </c>
      <c r="B94" s="49" t="s">
        <v>428</v>
      </c>
      <c r="C94" s="49"/>
      <c r="D94" s="49"/>
      <c r="E94" s="49"/>
      <c r="F94" s="49"/>
      <c r="G94" s="49"/>
      <c r="H94" s="49"/>
      <c r="I94" s="50"/>
      <c r="J94" s="51" t="s">
        <v>377</v>
      </c>
    </row>
    <row r="95" spans="1:10" x14ac:dyDescent="0.4">
      <c r="A95" s="80"/>
      <c r="B95" s="63"/>
      <c r="C95" s="63"/>
      <c r="D95" s="63"/>
      <c r="E95" s="63"/>
      <c r="F95" s="63"/>
      <c r="G95" s="63"/>
      <c r="H95" s="63"/>
      <c r="I95" s="70"/>
      <c r="J95" s="53"/>
    </row>
    <row r="96" spans="1:10" x14ac:dyDescent="0.4">
      <c r="A96" s="71" t="s">
        <v>378</v>
      </c>
      <c r="B96" s="56" t="s">
        <v>379</v>
      </c>
      <c r="C96" s="56" t="s">
        <v>380</v>
      </c>
      <c r="D96" s="56" t="s">
        <v>381</v>
      </c>
      <c r="E96" s="56" t="s">
        <v>380</v>
      </c>
      <c r="F96" s="56" t="s">
        <v>382</v>
      </c>
      <c r="G96" s="56" t="s">
        <v>380</v>
      </c>
      <c r="H96" s="56" t="s">
        <v>383</v>
      </c>
      <c r="I96" s="72" t="s">
        <v>384</v>
      </c>
      <c r="J96" s="53"/>
    </row>
    <row r="97" spans="1:10" x14ac:dyDescent="0.4">
      <c r="A97" s="86" t="s">
        <v>429</v>
      </c>
      <c r="B97" s="35">
        <v>586.59</v>
      </c>
      <c r="C97" s="63" t="s">
        <v>386</v>
      </c>
      <c r="D97" s="64">
        <f>D107/0.95351744</f>
        <v>1.83168316999284</v>
      </c>
      <c r="E97" s="63" t="s">
        <v>387</v>
      </c>
      <c r="F97" s="105">
        <f>D97*B97/1000</f>
        <v>1.0744470306861</v>
      </c>
      <c r="G97" s="63" t="s">
        <v>279</v>
      </c>
      <c r="H97" s="64">
        <f>H91</f>
        <v>0</v>
      </c>
      <c r="I97" s="64">
        <f>H97*F97</f>
        <v>0</v>
      </c>
      <c r="J97" s="53"/>
    </row>
    <row r="98" spans="1:10" x14ac:dyDescent="0.4">
      <c r="A98" s="86" t="s">
        <v>430</v>
      </c>
      <c r="B98" s="63">
        <v>141.96</v>
      </c>
      <c r="C98" s="63" t="s">
        <v>386</v>
      </c>
      <c r="D98" s="64">
        <f>(F98*1000)/B98</f>
        <v>0.45334203750045332</v>
      </c>
      <c r="E98" s="63" t="s">
        <v>387</v>
      </c>
      <c r="F98" s="105">
        <f>(1/0.0202)*0.0013</f>
        <v>6.4356435643564358E-2</v>
      </c>
      <c r="G98" s="63" t="s">
        <v>279</v>
      </c>
      <c r="H98" s="64">
        <f>'A. Databases'!$H$54</f>
        <v>0</v>
      </c>
      <c r="I98" s="64">
        <f>H98*F98</f>
        <v>0</v>
      </c>
      <c r="J98" s="53"/>
    </row>
    <row r="99" spans="1:10" x14ac:dyDescent="0.4">
      <c r="A99" s="86" t="s">
        <v>431</v>
      </c>
      <c r="B99" s="63">
        <v>39.997</v>
      </c>
      <c r="C99" s="63" t="s">
        <v>386</v>
      </c>
      <c r="D99" s="64">
        <f>(F99*1000)/B99</f>
        <v>7.4262995467234312</v>
      </c>
      <c r="E99" s="63" t="s">
        <v>387</v>
      </c>
      <c r="F99" s="105">
        <f>(1/0.0202)*0.006</f>
        <v>0.29702970297029707</v>
      </c>
      <c r="G99" s="63" t="s">
        <v>279</v>
      </c>
      <c r="H99" s="64">
        <f>'A. Databases'!$H$20</f>
        <v>0</v>
      </c>
      <c r="I99" s="64">
        <f>H99*F99</f>
        <v>0</v>
      </c>
      <c r="J99" s="53"/>
    </row>
    <row r="100" spans="1:10" x14ac:dyDescent="0.4">
      <c r="A100" s="86" t="s">
        <v>432</v>
      </c>
      <c r="B100" s="63">
        <v>58.08</v>
      </c>
      <c r="C100" s="63" t="s">
        <v>386</v>
      </c>
      <c r="D100" s="64">
        <f>(F100*1000)/B100</f>
        <v>400.94918582767366</v>
      </c>
      <c r="E100" s="63" t="s">
        <v>387</v>
      </c>
      <c r="F100" s="105">
        <f>(1/0.0202)*0.4704</f>
        <v>23.287128712871286</v>
      </c>
      <c r="G100" s="63" t="s">
        <v>279</v>
      </c>
      <c r="H100" s="64">
        <f>'A. Databases'!$H$59</f>
        <v>0</v>
      </c>
      <c r="I100" s="64">
        <f>H100*F100</f>
        <v>0</v>
      </c>
      <c r="J100" s="53"/>
    </row>
    <row r="101" spans="1:10" x14ac:dyDescent="0.4">
      <c r="A101" s="80"/>
      <c r="B101" s="63"/>
      <c r="C101" s="63"/>
      <c r="D101" s="63"/>
      <c r="E101" s="63"/>
      <c r="F101" s="105"/>
      <c r="G101" s="63"/>
      <c r="H101" s="64"/>
      <c r="I101" s="64"/>
      <c r="J101" s="53"/>
    </row>
    <row r="102" spans="1:10" x14ac:dyDescent="0.4">
      <c r="A102" s="71" t="s">
        <v>392</v>
      </c>
      <c r="B102" s="56" t="s">
        <v>379</v>
      </c>
      <c r="C102" s="56" t="s">
        <v>380</v>
      </c>
      <c r="D102" s="56"/>
      <c r="E102" s="56"/>
      <c r="F102" s="106" t="s">
        <v>382</v>
      </c>
      <c r="G102" s="56" t="s">
        <v>380</v>
      </c>
      <c r="H102" s="83"/>
      <c r="I102" s="84"/>
      <c r="J102" s="53"/>
    </row>
    <row r="103" spans="1:10" x14ac:dyDescent="0.4">
      <c r="A103" s="86" t="s">
        <v>433</v>
      </c>
      <c r="B103" s="63">
        <v>88.15</v>
      </c>
      <c r="C103" s="63" t="s">
        <v>386</v>
      </c>
      <c r="D103" s="64">
        <f>(F103*1000)/B103</f>
        <v>33.24665989003892</v>
      </c>
      <c r="E103" s="63" t="s">
        <v>387</v>
      </c>
      <c r="F103" s="105">
        <f>(1/0.0202)*0.0592</f>
        <v>2.9306930693069311</v>
      </c>
      <c r="G103" s="63" t="s">
        <v>279</v>
      </c>
      <c r="H103" s="64">
        <f>'A. Databases'!$H$47</f>
        <v>0</v>
      </c>
      <c r="I103" s="64">
        <f>H103*F103</f>
        <v>0</v>
      </c>
      <c r="J103" s="53"/>
    </row>
    <row r="104" spans="1:10" x14ac:dyDescent="0.4">
      <c r="A104" s="86" t="s">
        <v>433</v>
      </c>
      <c r="B104" s="63">
        <v>88.15</v>
      </c>
      <c r="C104" s="63" t="s">
        <v>386</v>
      </c>
      <c r="D104" s="64">
        <f>(F104*1000)/B104</f>
        <v>124.73113448610884</v>
      </c>
      <c r="E104" s="63" t="s">
        <v>387</v>
      </c>
      <c r="F104" s="105">
        <f>(1/0.0202)*0.2221</f>
        <v>10.995049504950495</v>
      </c>
      <c r="G104" s="63" t="s">
        <v>279</v>
      </c>
      <c r="H104" s="64">
        <f>'A. Databases'!$H$47</f>
        <v>0</v>
      </c>
      <c r="I104" s="64">
        <f>H104*F104</f>
        <v>0</v>
      </c>
      <c r="J104" s="53"/>
    </row>
    <row r="105" spans="1:10" x14ac:dyDescent="0.4">
      <c r="A105" s="86" t="s">
        <v>434</v>
      </c>
      <c r="B105" s="63">
        <v>18.02</v>
      </c>
      <c r="C105" s="63" t="s">
        <v>386</v>
      </c>
      <c r="D105" s="64">
        <f>(F105*1000)/B105</f>
        <v>1291.1946022571178</v>
      </c>
      <c r="E105" s="63" t="s">
        <v>387</v>
      </c>
      <c r="F105" s="105">
        <f>(1/0.0202)*0.47</f>
        <v>23.267326732673265</v>
      </c>
      <c r="G105" s="63" t="s">
        <v>279</v>
      </c>
      <c r="H105" s="64">
        <f>'A. Databases'!$H$38</f>
        <v>0</v>
      </c>
      <c r="I105" s="64">
        <f>H105*F105</f>
        <v>0</v>
      </c>
      <c r="J105" s="53"/>
    </row>
    <row r="106" spans="1:10" x14ac:dyDescent="0.4">
      <c r="A106" s="68" t="s">
        <v>396</v>
      </c>
      <c r="B106" s="63" t="s">
        <v>379</v>
      </c>
      <c r="C106" s="63" t="s">
        <v>380</v>
      </c>
      <c r="D106" s="64"/>
      <c r="E106" s="63"/>
      <c r="F106" s="105" t="s">
        <v>382</v>
      </c>
      <c r="G106" s="63" t="s">
        <v>380</v>
      </c>
      <c r="H106" s="64"/>
      <c r="I106" s="66"/>
      <c r="J106" s="53"/>
    </row>
    <row r="107" spans="1:10" x14ac:dyDescent="0.4">
      <c r="A107" s="87" t="s">
        <v>12</v>
      </c>
      <c r="B107" s="74">
        <v>572.55999999999995</v>
      </c>
      <c r="C107" s="74" t="s">
        <v>386</v>
      </c>
      <c r="D107" s="107">
        <f>(F107*1000)/B107</f>
        <v>1.7465418471426577</v>
      </c>
      <c r="E107" s="74" t="s">
        <v>387</v>
      </c>
      <c r="F107" s="104">
        <v>1</v>
      </c>
      <c r="G107" s="74" t="s">
        <v>279</v>
      </c>
      <c r="H107" s="77">
        <f>I107/F107</f>
        <v>0</v>
      </c>
      <c r="I107" s="75">
        <f>SUM(I97:I105)</f>
        <v>0</v>
      </c>
      <c r="J107" s="79"/>
    </row>
    <row r="108" spans="1:10" x14ac:dyDescent="0.4">
      <c r="A108" s="47" t="s">
        <v>435</v>
      </c>
      <c r="B108" s="47"/>
      <c r="C108" s="47"/>
      <c r="D108" s="47"/>
      <c r="E108" s="47"/>
      <c r="F108" s="47"/>
      <c r="G108" s="47"/>
      <c r="H108" s="47"/>
      <c r="I108" s="47"/>
      <c r="J108" s="47"/>
    </row>
    <row r="141" spans="1:10" x14ac:dyDescent="0.4">
      <c r="A141" s="47"/>
      <c r="B141" s="47"/>
      <c r="C141" s="47"/>
      <c r="D141" s="47"/>
      <c r="E141" s="47"/>
      <c r="F141" s="47"/>
      <c r="G141" s="47"/>
      <c r="H141" s="47"/>
      <c r="I141" s="47"/>
      <c r="J141" s="47"/>
    </row>
    <row r="142" spans="1:10" x14ac:dyDescent="0.4">
      <c r="A142" s="47"/>
      <c r="B142" s="47"/>
      <c r="C142" s="47"/>
      <c r="D142" s="47"/>
      <c r="E142" s="47"/>
      <c r="F142" s="47"/>
      <c r="G142" s="47"/>
      <c r="H142" s="47"/>
      <c r="I142" s="47"/>
      <c r="J142" s="47"/>
    </row>
    <row r="143" spans="1:10" x14ac:dyDescent="0.4">
      <c r="A143" s="15"/>
      <c r="B143" s="15"/>
      <c r="C143" s="15"/>
      <c r="D143" s="15"/>
      <c r="E143" s="15"/>
      <c r="F143" s="15"/>
      <c r="G143" s="15"/>
      <c r="H143" s="15"/>
      <c r="I143" s="15"/>
      <c r="J143" s="15"/>
    </row>
    <row r="144" spans="1:10" x14ac:dyDescent="0.4">
      <c r="A144" s="15"/>
      <c r="B144" s="15"/>
      <c r="C144" s="15"/>
      <c r="D144" s="15"/>
      <c r="E144" s="15"/>
      <c r="F144" s="15"/>
      <c r="G144" s="15"/>
      <c r="H144" s="15"/>
      <c r="I144" s="15"/>
      <c r="J144" s="15"/>
    </row>
    <row r="145" spans="1:41" x14ac:dyDescent="0.4">
      <c r="A145" s="15"/>
      <c r="B145" s="15"/>
      <c r="C145" s="15"/>
      <c r="D145" s="15"/>
      <c r="E145" s="15"/>
      <c r="F145" s="15"/>
      <c r="G145" s="15"/>
      <c r="H145" s="15"/>
      <c r="I145" s="15"/>
      <c r="J145" s="15"/>
    </row>
    <row r="146" spans="1:41" x14ac:dyDescent="0.4">
      <c r="A146" s="15"/>
      <c r="B146" s="15"/>
      <c r="C146" s="15"/>
      <c r="D146" s="15"/>
      <c r="E146" s="15"/>
      <c r="F146" s="15"/>
      <c r="G146" s="15"/>
      <c r="H146" s="15"/>
      <c r="I146" s="15"/>
      <c r="J146" s="15"/>
    </row>
    <row r="147" spans="1:41" x14ac:dyDescent="0.4">
      <c r="A147" s="15"/>
      <c r="B147" s="15"/>
      <c r="C147" s="15"/>
      <c r="D147" s="15"/>
      <c r="E147" s="15"/>
      <c r="F147" s="15"/>
      <c r="G147" s="15"/>
      <c r="H147" s="15"/>
      <c r="I147" s="15"/>
      <c r="J147" s="15"/>
    </row>
    <row r="148" spans="1:41" x14ac:dyDescent="0.4">
      <c r="A148" s="15"/>
      <c r="B148" s="15"/>
      <c r="C148" s="15"/>
      <c r="D148" s="15"/>
      <c r="E148" s="15"/>
      <c r="F148" s="15"/>
      <c r="G148" s="15"/>
      <c r="H148" s="15"/>
      <c r="I148" s="15"/>
      <c r="J148" s="15"/>
    </row>
    <row r="149" spans="1:41" x14ac:dyDescent="0.4">
      <c r="A149" s="15"/>
      <c r="B149" s="15"/>
      <c r="C149" s="15"/>
      <c r="D149" s="15"/>
      <c r="E149" s="15"/>
      <c r="F149" s="15"/>
      <c r="G149" s="15"/>
      <c r="H149" s="15"/>
      <c r="I149" s="15"/>
      <c r="J149" s="15"/>
    </row>
    <row r="150" spans="1:41" x14ac:dyDescent="0.4">
      <c r="A150" s="15"/>
      <c r="B150" s="15"/>
      <c r="C150" s="15"/>
      <c r="D150" s="15"/>
      <c r="E150" s="15"/>
      <c r="F150" s="15"/>
      <c r="G150" s="15"/>
      <c r="H150" s="15"/>
      <c r="I150" s="15"/>
      <c r="J150" s="15"/>
    </row>
    <row r="151" spans="1:41" x14ac:dyDescent="0.4">
      <c r="A151" s="15"/>
      <c r="B151" s="15"/>
      <c r="C151" s="15"/>
      <c r="D151" s="15"/>
      <c r="E151" s="15"/>
      <c r="F151" s="15"/>
      <c r="G151" s="15"/>
      <c r="H151" s="15"/>
      <c r="I151" s="15"/>
      <c r="J151" s="15"/>
    </row>
    <row r="152" spans="1:41" x14ac:dyDescent="0.4">
      <c r="A152" s="15"/>
      <c r="B152" s="15"/>
      <c r="C152" s="15"/>
      <c r="D152" s="15"/>
      <c r="E152" s="15"/>
      <c r="F152" s="15"/>
      <c r="G152" s="15"/>
      <c r="H152" s="15"/>
      <c r="I152" s="15"/>
      <c r="J152" s="15"/>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15"/>
      <c r="AL152" s="15"/>
      <c r="AM152" s="15"/>
      <c r="AN152" s="15"/>
      <c r="AO152" s="15"/>
    </row>
    <row r="153" spans="1:41" x14ac:dyDescent="0.4">
      <c r="A153" s="15"/>
      <c r="B153" s="15"/>
      <c r="C153" s="15"/>
      <c r="D153" s="15"/>
      <c r="E153" s="15"/>
      <c r="F153" s="15"/>
      <c r="G153" s="15"/>
      <c r="H153" s="15"/>
      <c r="I153" s="15"/>
      <c r="J153" s="15"/>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15"/>
      <c r="AL153" s="15"/>
      <c r="AM153" s="15"/>
      <c r="AN153" s="15"/>
      <c r="AO153" s="15"/>
    </row>
    <row r="154" spans="1:41" x14ac:dyDescent="0.4">
      <c r="A154" s="15"/>
      <c r="B154" s="15"/>
      <c r="C154" s="15"/>
      <c r="D154" s="15"/>
      <c r="E154" s="15"/>
      <c r="F154" s="15"/>
      <c r="G154" s="15"/>
      <c r="H154" s="15"/>
      <c r="I154" s="15"/>
      <c r="J154" s="15"/>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15"/>
      <c r="AL154" s="15"/>
      <c r="AM154" s="15"/>
      <c r="AN154" s="15"/>
      <c r="AO154" s="15"/>
    </row>
    <row r="155" spans="1:41" x14ac:dyDescent="0.4">
      <c r="A155" s="15"/>
      <c r="B155" s="15"/>
      <c r="C155" s="15"/>
      <c r="D155" s="15"/>
      <c r="E155" s="15"/>
      <c r="F155" s="15"/>
      <c r="G155" s="15"/>
      <c r="H155" s="15"/>
      <c r="I155" s="15"/>
      <c r="J155" s="15"/>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15"/>
      <c r="AL155" s="15"/>
      <c r="AM155" s="15"/>
      <c r="AN155" s="15"/>
      <c r="AO155" s="15"/>
    </row>
    <row r="156" spans="1:41" x14ac:dyDescent="0.4">
      <c r="A156" s="15"/>
      <c r="B156" s="15"/>
      <c r="C156" s="15"/>
      <c r="D156" s="15"/>
      <c r="E156" s="15"/>
      <c r="F156" s="15"/>
      <c r="G156" s="15"/>
      <c r="H156" s="15"/>
      <c r="I156" s="15"/>
      <c r="J156" s="15"/>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15"/>
      <c r="AL156" s="15"/>
      <c r="AM156" s="15"/>
      <c r="AN156" s="15"/>
      <c r="AO156" s="15"/>
    </row>
    <row r="157" spans="1:41" x14ac:dyDescent="0.4">
      <c r="A157" s="15"/>
      <c r="B157" s="15"/>
      <c r="C157" s="15"/>
      <c r="D157" s="15"/>
      <c r="E157" s="15"/>
      <c r="F157" s="15"/>
      <c r="G157" s="15"/>
      <c r="H157" s="15"/>
      <c r="I157" s="15"/>
      <c r="J157" s="15"/>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15"/>
      <c r="AL157" s="15"/>
      <c r="AM157" s="15"/>
      <c r="AN157" s="15"/>
      <c r="AO157" s="15"/>
    </row>
    <row r="158" spans="1:41" x14ac:dyDescent="0.4">
      <c r="A158" s="15"/>
      <c r="B158" s="15"/>
      <c r="C158" s="15"/>
      <c r="D158" s="15"/>
      <c r="E158" s="15"/>
      <c r="F158" s="15"/>
      <c r="G158" s="15"/>
      <c r="H158" s="15"/>
      <c r="I158" s="15"/>
      <c r="J158" s="15"/>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15"/>
      <c r="AL158" s="15"/>
      <c r="AM158" s="15"/>
      <c r="AN158" s="15"/>
      <c r="AO158" s="15"/>
    </row>
    <row r="159" spans="1:41" x14ac:dyDescent="0.4">
      <c r="A159" s="15"/>
      <c r="B159" s="15"/>
      <c r="C159" s="15"/>
      <c r="D159" s="15"/>
      <c r="E159" s="15"/>
      <c r="F159" s="15"/>
      <c r="G159" s="15"/>
      <c r="H159" s="15"/>
      <c r="I159" s="15"/>
      <c r="J159" s="15"/>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15"/>
      <c r="AL159" s="15"/>
      <c r="AM159" s="15"/>
      <c r="AN159" s="15"/>
      <c r="AO159" s="15"/>
    </row>
    <row r="160" spans="1:41" x14ac:dyDescent="0.4">
      <c r="A160" s="15"/>
      <c r="B160" s="15"/>
      <c r="C160" s="15"/>
      <c r="D160" s="15"/>
      <c r="E160" s="15"/>
      <c r="F160" s="15"/>
      <c r="G160" s="15"/>
      <c r="H160" s="15"/>
      <c r="I160" s="15"/>
      <c r="J160" s="15"/>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15"/>
      <c r="AL160" s="15"/>
      <c r="AM160" s="15"/>
      <c r="AN160" s="15"/>
      <c r="AO160" s="15"/>
    </row>
    <row r="161" spans="1:41" x14ac:dyDescent="0.4">
      <c r="A161" s="15"/>
      <c r="B161" s="15"/>
      <c r="C161" s="15"/>
      <c r="D161" s="15"/>
      <c r="E161" s="15"/>
      <c r="F161" s="15"/>
      <c r="G161" s="15"/>
      <c r="H161" s="15"/>
      <c r="I161" s="15"/>
      <c r="J161" s="15"/>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15"/>
      <c r="AL161" s="15"/>
      <c r="AM161" s="15"/>
      <c r="AN161" s="15"/>
      <c r="AO161" s="15"/>
    </row>
    <row r="162" spans="1:41" x14ac:dyDescent="0.4">
      <c r="A162" s="15"/>
      <c r="B162" s="15"/>
      <c r="C162" s="15"/>
      <c r="D162" s="15"/>
      <c r="E162" s="15"/>
      <c r="F162" s="15"/>
      <c r="G162" s="15"/>
      <c r="H162" s="15"/>
      <c r="I162" s="15"/>
      <c r="J162" s="15"/>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15"/>
      <c r="AL162" s="15"/>
      <c r="AM162" s="15"/>
      <c r="AN162" s="15"/>
      <c r="AO162" s="15"/>
    </row>
    <row r="163" spans="1:41" x14ac:dyDescent="0.4">
      <c r="A163" s="15"/>
      <c r="B163" s="15"/>
      <c r="C163" s="15"/>
      <c r="D163" s="15"/>
      <c r="E163" s="15"/>
      <c r="F163" s="15"/>
      <c r="G163" s="15"/>
      <c r="H163" s="15"/>
      <c r="I163" s="15"/>
      <c r="J163" s="15"/>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15"/>
      <c r="AL163" s="15"/>
      <c r="AM163" s="15"/>
      <c r="AN163" s="15"/>
      <c r="AO163" s="15"/>
    </row>
    <row r="164" spans="1:41" x14ac:dyDescent="0.4">
      <c r="A164" s="15"/>
      <c r="B164" s="15"/>
      <c r="C164" s="15"/>
      <c r="D164" s="15"/>
      <c r="E164" s="15"/>
      <c r="F164" s="15"/>
      <c r="G164" s="15"/>
      <c r="H164" s="15"/>
      <c r="I164" s="15"/>
      <c r="J164" s="15"/>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15"/>
      <c r="AL164" s="15"/>
      <c r="AM164" s="15"/>
      <c r="AN164" s="15"/>
      <c r="AO164" s="15"/>
    </row>
    <row r="165" spans="1:41" x14ac:dyDescent="0.4">
      <c r="A165" s="15"/>
      <c r="B165" s="15"/>
      <c r="C165" s="15"/>
      <c r="D165" s="15"/>
      <c r="E165" s="15"/>
      <c r="F165" s="15"/>
      <c r="G165" s="15"/>
      <c r="H165" s="15"/>
      <c r="I165" s="15"/>
      <c r="J165" s="15"/>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15"/>
      <c r="AL165" s="15"/>
      <c r="AM165" s="15"/>
      <c r="AN165" s="15"/>
      <c r="AO165" s="15"/>
    </row>
    <row r="166" spans="1:41" x14ac:dyDescent="0.4">
      <c r="A166" s="15"/>
      <c r="B166" s="15"/>
      <c r="C166" s="15"/>
      <c r="D166" s="15"/>
      <c r="E166" s="15"/>
      <c r="F166" s="15"/>
      <c r="G166" s="15"/>
      <c r="H166" s="15"/>
      <c r="I166" s="15"/>
      <c r="J166" s="15"/>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15"/>
      <c r="AL166" s="15"/>
      <c r="AM166" s="15"/>
      <c r="AN166" s="15"/>
      <c r="AO166" s="15"/>
    </row>
    <row r="167" spans="1:41" x14ac:dyDescent="0.4">
      <c r="A167" s="15"/>
      <c r="B167" s="15"/>
      <c r="C167" s="15"/>
      <c r="D167" s="15"/>
      <c r="E167" s="15"/>
      <c r="F167" s="15"/>
      <c r="G167" s="15"/>
      <c r="H167" s="15"/>
      <c r="I167" s="15"/>
      <c r="J167" s="15"/>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15"/>
      <c r="AL167" s="15"/>
      <c r="AM167" s="15"/>
      <c r="AN167" s="15"/>
      <c r="AO167" s="15"/>
    </row>
    <row r="168" spans="1:41" x14ac:dyDescent="0.4">
      <c r="A168" s="15"/>
      <c r="B168" s="15"/>
      <c r="C168" s="15"/>
      <c r="D168" s="15"/>
      <c r="E168" s="15"/>
      <c r="F168" s="15"/>
      <c r="G168" s="15"/>
      <c r="H168" s="15"/>
      <c r="I168" s="15"/>
      <c r="J168" s="15"/>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15"/>
      <c r="AL168" s="15"/>
      <c r="AM168" s="15"/>
      <c r="AN168" s="15"/>
      <c r="AO168" s="15"/>
    </row>
    <row r="169" spans="1:41" x14ac:dyDescent="0.4">
      <c r="A169" s="15"/>
      <c r="B169" s="15"/>
      <c r="C169" s="15"/>
      <c r="D169" s="15"/>
      <c r="E169" s="15"/>
      <c r="F169" s="15"/>
      <c r="G169" s="15"/>
      <c r="H169" s="15"/>
      <c r="I169" s="15"/>
      <c r="J169" s="15"/>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15"/>
      <c r="AL169" s="15"/>
      <c r="AM169" s="15"/>
      <c r="AN169" s="15"/>
      <c r="AO169" s="15"/>
    </row>
    <row r="170" spans="1:41" x14ac:dyDescent="0.4">
      <c r="A170" s="15"/>
      <c r="B170" s="15"/>
      <c r="C170" s="15"/>
      <c r="D170" s="15"/>
      <c r="E170" s="15"/>
      <c r="F170" s="15"/>
      <c r="G170" s="15"/>
      <c r="H170" s="15"/>
      <c r="I170" s="15"/>
      <c r="J170" s="15"/>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15"/>
      <c r="AL170" s="15"/>
      <c r="AM170" s="15"/>
      <c r="AN170" s="15"/>
      <c r="AO170" s="15"/>
    </row>
    <row r="171" spans="1:41" x14ac:dyDescent="0.4">
      <c r="A171" s="15"/>
      <c r="B171" s="15"/>
      <c r="C171" s="15"/>
      <c r="D171" s="15"/>
      <c r="E171" s="15"/>
      <c r="F171" s="15"/>
      <c r="G171" s="15"/>
      <c r="H171" s="15"/>
      <c r="I171" s="15"/>
      <c r="J171" s="15"/>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15"/>
      <c r="AL171" s="15"/>
      <c r="AM171" s="15"/>
      <c r="AN171" s="15"/>
      <c r="AO171" s="15"/>
    </row>
    <row r="172" spans="1:41" x14ac:dyDescent="0.4">
      <c r="A172" s="15"/>
      <c r="B172" s="15"/>
      <c r="C172" s="15"/>
      <c r="D172" s="15"/>
      <c r="E172" s="15"/>
      <c r="F172" s="15"/>
      <c r="G172" s="15"/>
      <c r="H172" s="15"/>
      <c r="I172" s="15"/>
      <c r="J172" s="15"/>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15"/>
      <c r="AL172" s="15"/>
      <c r="AM172" s="15"/>
      <c r="AN172" s="15"/>
      <c r="AO172" s="15"/>
    </row>
    <row r="173" spans="1:41" x14ac:dyDescent="0.4">
      <c r="A173" s="15"/>
      <c r="B173" s="15"/>
      <c r="C173" s="15"/>
      <c r="D173" s="15"/>
      <c r="E173" s="15"/>
      <c r="F173" s="15"/>
      <c r="G173" s="15"/>
      <c r="H173" s="15"/>
      <c r="I173" s="15"/>
      <c r="J173" s="15"/>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15"/>
      <c r="AL173" s="15"/>
      <c r="AM173" s="15"/>
      <c r="AN173" s="15"/>
      <c r="AO173" s="15"/>
    </row>
    <row r="174" spans="1:41" x14ac:dyDescent="0.4">
      <c r="A174" s="15"/>
      <c r="B174" s="15"/>
      <c r="C174" s="15"/>
      <c r="D174" s="15"/>
      <c r="E174" s="15"/>
      <c r="F174" s="15"/>
      <c r="G174" s="15"/>
      <c r="H174" s="15"/>
      <c r="I174" s="15"/>
      <c r="J174" s="15"/>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15"/>
      <c r="AL174" s="15"/>
      <c r="AM174" s="15"/>
      <c r="AN174" s="15"/>
      <c r="AO174" s="15"/>
    </row>
    <row r="175" spans="1:41" x14ac:dyDescent="0.4">
      <c r="A175" s="15"/>
      <c r="B175" s="15"/>
      <c r="C175" s="15"/>
      <c r="D175" s="15"/>
      <c r="E175" s="15"/>
      <c r="F175" s="15"/>
      <c r="G175" s="15"/>
      <c r="H175" s="15"/>
      <c r="I175" s="15"/>
      <c r="J175" s="15"/>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15"/>
      <c r="AL175" s="15"/>
      <c r="AM175" s="15"/>
      <c r="AN175" s="15"/>
      <c r="AO175" s="15"/>
    </row>
    <row r="176" spans="1:41" x14ac:dyDescent="0.4">
      <c r="A176" s="15"/>
      <c r="B176" s="15"/>
      <c r="C176" s="15"/>
      <c r="D176" s="15"/>
      <c r="E176" s="15"/>
      <c r="F176" s="15"/>
      <c r="G176" s="15"/>
      <c r="H176" s="15"/>
      <c r="I176" s="15"/>
      <c r="J176" s="15"/>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15"/>
      <c r="AL176" s="15"/>
      <c r="AM176" s="15"/>
      <c r="AN176" s="15"/>
      <c r="AO176" s="15"/>
    </row>
    <row r="177" spans="1:41" x14ac:dyDescent="0.4">
      <c r="A177" s="15"/>
      <c r="B177" s="15"/>
      <c r="C177" s="15"/>
      <c r="D177" s="15"/>
      <c r="E177" s="15"/>
      <c r="F177" s="15"/>
      <c r="G177" s="15"/>
      <c r="H177" s="15"/>
      <c r="I177" s="15"/>
      <c r="J177" s="15"/>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15"/>
      <c r="AL177" s="15"/>
      <c r="AM177" s="15"/>
      <c r="AN177" s="15"/>
      <c r="AO177" s="15"/>
    </row>
    <row r="178" spans="1:41" x14ac:dyDescent="0.4">
      <c r="A178" s="15"/>
      <c r="B178" s="15"/>
      <c r="C178" s="15"/>
      <c r="D178" s="15"/>
      <c r="E178" s="15"/>
      <c r="F178" s="15"/>
      <c r="G178" s="15"/>
      <c r="H178" s="15"/>
      <c r="I178" s="15"/>
      <c r="J178" s="15"/>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15"/>
      <c r="AL178" s="15"/>
      <c r="AM178" s="15"/>
      <c r="AN178" s="15"/>
      <c r="AO178" s="15"/>
    </row>
    <row r="179" spans="1:41" x14ac:dyDescent="0.4">
      <c r="A179" s="15"/>
      <c r="B179" s="15"/>
      <c r="C179" s="15"/>
      <c r="D179" s="15"/>
      <c r="E179" s="15"/>
      <c r="F179" s="15"/>
      <c r="G179" s="15"/>
      <c r="H179" s="15"/>
      <c r="I179" s="15"/>
      <c r="J179" s="15"/>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15"/>
      <c r="AL179" s="15"/>
      <c r="AM179" s="15"/>
      <c r="AN179" s="15"/>
      <c r="AO179" s="15"/>
    </row>
    <row r="180" spans="1:41" x14ac:dyDescent="0.4">
      <c r="A180" s="15"/>
      <c r="B180" s="15"/>
      <c r="C180" s="15"/>
      <c r="D180" s="15"/>
      <c r="E180" s="15"/>
      <c r="F180" s="15"/>
      <c r="G180" s="15"/>
      <c r="H180" s="15"/>
      <c r="I180" s="15"/>
      <c r="J180" s="15"/>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15"/>
      <c r="AL180" s="15"/>
      <c r="AM180" s="15"/>
      <c r="AN180" s="15"/>
      <c r="AO180" s="15"/>
    </row>
    <row r="181" spans="1:41" x14ac:dyDescent="0.4">
      <c r="A181" s="15"/>
      <c r="B181" s="15"/>
      <c r="C181" s="15"/>
      <c r="D181" s="15"/>
      <c r="E181" s="15"/>
      <c r="F181" s="15"/>
      <c r="G181" s="15"/>
      <c r="H181" s="15"/>
      <c r="I181" s="15"/>
      <c r="J181" s="15"/>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15"/>
      <c r="AL181" s="15"/>
      <c r="AM181" s="15"/>
      <c r="AN181" s="15"/>
      <c r="AO181" s="15"/>
    </row>
    <row r="182" spans="1:41" x14ac:dyDescent="0.4">
      <c r="A182" s="15"/>
      <c r="B182" s="15"/>
      <c r="C182" s="15"/>
      <c r="D182" s="15"/>
      <c r="E182" s="15"/>
      <c r="F182" s="15"/>
      <c r="G182" s="15"/>
      <c r="H182" s="15"/>
      <c r="I182" s="15"/>
      <c r="J182" s="15"/>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15"/>
      <c r="AL182" s="15"/>
      <c r="AM182" s="15"/>
      <c r="AN182" s="15"/>
      <c r="AO182" s="15"/>
    </row>
    <row r="183" spans="1:41" x14ac:dyDescent="0.4">
      <c r="A183" s="15"/>
      <c r="B183" s="15"/>
      <c r="C183" s="15"/>
      <c r="D183" s="15"/>
      <c r="E183" s="15"/>
      <c r="F183" s="15"/>
      <c r="G183" s="15"/>
      <c r="H183" s="15"/>
      <c r="I183" s="15"/>
      <c r="J183" s="15"/>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15"/>
      <c r="AL183" s="15"/>
      <c r="AM183" s="15"/>
      <c r="AN183" s="15"/>
      <c r="AO183" s="15"/>
    </row>
    <row r="184" spans="1:41" x14ac:dyDescent="0.4">
      <c r="A184" s="15"/>
      <c r="B184" s="15"/>
      <c r="C184" s="15"/>
      <c r="D184" s="15"/>
      <c r="E184" s="15"/>
      <c r="F184" s="15"/>
      <c r="G184" s="15"/>
      <c r="H184" s="15"/>
      <c r="I184" s="15"/>
      <c r="J184" s="15"/>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15"/>
      <c r="AL184" s="15"/>
      <c r="AM184" s="15"/>
      <c r="AN184" s="15"/>
      <c r="AO184" s="15"/>
    </row>
    <row r="185" spans="1:41" x14ac:dyDescent="0.4">
      <c r="A185" s="15"/>
      <c r="B185" s="15"/>
      <c r="C185" s="15"/>
      <c r="D185" s="15"/>
      <c r="E185" s="15"/>
      <c r="F185" s="15"/>
      <c r="G185" s="15"/>
      <c r="H185" s="15"/>
      <c r="I185" s="15"/>
      <c r="J185" s="15"/>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15"/>
      <c r="AL185" s="15"/>
      <c r="AM185" s="15"/>
      <c r="AN185" s="15"/>
      <c r="AO185" s="15"/>
    </row>
    <row r="186" spans="1:41" x14ac:dyDescent="0.4">
      <c r="A186" s="15"/>
      <c r="B186" s="15"/>
      <c r="C186" s="15"/>
      <c r="D186" s="15"/>
      <c r="E186" s="15"/>
      <c r="F186" s="15"/>
      <c r="G186" s="15"/>
      <c r="H186" s="15"/>
      <c r="I186" s="15"/>
      <c r="J186" s="15"/>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15"/>
      <c r="AL186" s="15"/>
      <c r="AM186" s="15"/>
      <c r="AN186" s="15"/>
      <c r="AO186" s="15"/>
    </row>
    <row r="187" spans="1:41" x14ac:dyDescent="0.4">
      <c r="A187" s="15"/>
      <c r="B187" s="15"/>
      <c r="C187" s="15"/>
      <c r="D187" s="15"/>
      <c r="E187" s="15"/>
      <c r="F187" s="15"/>
      <c r="G187" s="15"/>
      <c r="H187" s="15"/>
      <c r="I187" s="15"/>
      <c r="J187" s="15"/>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15"/>
      <c r="AL187" s="15"/>
      <c r="AM187" s="15"/>
      <c r="AN187" s="15"/>
      <c r="AO187" s="15"/>
    </row>
    <row r="188" spans="1:41" x14ac:dyDescent="0.4">
      <c r="A188" s="15"/>
      <c r="B188" s="15"/>
      <c r="C188" s="15"/>
      <c r="D188" s="15"/>
      <c r="E188" s="15"/>
      <c r="F188" s="15"/>
      <c r="G188" s="15"/>
      <c r="H188" s="15"/>
      <c r="I188" s="15"/>
      <c r="J188" s="15"/>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15"/>
      <c r="AL188" s="15"/>
      <c r="AM188" s="15"/>
      <c r="AN188" s="15"/>
      <c r="AO188" s="15"/>
    </row>
    <row r="189" spans="1:41" x14ac:dyDescent="0.4">
      <c r="A189" s="15"/>
      <c r="B189" s="15"/>
      <c r="C189" s="15"/>
      <c r="D189" s="15"/>
      <c r="E189" s="15"/>
      <c r="F189" s="15"/>
      <c r="G189" s="15"/>
      <c r="H189" s="15"/>
      <c r="I189" s="15"/>
      <c r="J189" s="15"/>
      <c r="K189" s="47"/>
      <c r="L189" s="47"/>
      <c r="M189" s="47"/>
      <c r="N189" s="47"/>
      <c r="O189" s="47"/>
      <c r="P189" s="47"/>
      <c r="Q189" s="47"/>
      <c r="R189" s="47"/>
      <c r="S189" s="47"/>
      <c r="T189" s="47"/>
      <c r="U189" s="47"/>
      <c r="V189" s="47"/>
      <c r="W189" s="47"/>
      <c r="X189" s="47"/>
      <c r="Y189" s="47"/>
      <c r="Z189" s="47"/>
      <c r="AA189" s="47"/>
      <c r="AB189" s="15"/>
      <c r="AC189" s="15"/>
      <c r="AD189" s="15"/>
      <c r="AE189" s="15"/>
      <c r="AF189" s="15"/>
      <c r="AG189" s="15"/>
      <c r="AH189" s="15"/>
      <c r="AI189" s="15"/>
      <c r="AJ189" s="15"/>
      <c r="AK189" s="15"/>
      <c r="AL189" s="15"/>
      <c r="AM189" s="15"/>
      <c r="AN189" s="15"/>
      <c r="AO189" s="15"/>
    </row>
    <row r="190" spans="1:41" x14ac:dyDescent="0.4">
      <c r="A190" s="15"/>
      <c r="B190" s="15"/>
      <c r="C190" s="15"/>
      <c r="D190" s="15"/>
      <c r="E190" s="15"/>
      <c r="F190" s="15"/>
      <c r="G190" s="15"/>
      <c r="H190" s="15"/>
      <c r="I190" s="15"/>
      <c r="J190" s="15"/>
      <c r="K190" s="47"/>
      <c r="L190" s="47"/>
      <c r="M190" s="47"/>
      <c r="N190" s="47"/>
      <c r="O190" s="47"/>
      <c r="P190" s="47"/>
      <c r="Q190" s="47"/>
      <c r="R190" s="47"/>
      <c r="S190" s="47"/>
      <c r="T190" s="47"/>
      <c r="U190" s="47"/>
      <c r="V190" s="47"/>
      <c r="W190" s="47"/>
      <c r="X190" s="47"/>
      <c r="Y190" s="47"/>
      <c r="Z190" s="47"/>
      <c r="AA190" s="47"/>
      <c r="AB190" s="15"/>
      <c r="AC190" s="15"/>
      <c r="AD190" s="15"/>
      <c r="AE190" s="15"/>
      <c r="AF190" s="15"/>
      <c r="AG190" s="15"/>
      <c r="AH190" s="15"/>
      <c r="AI190" s="15"/>
      <c r="AJ190" s="15"/>
      <c r="AK190" s="15"/>
      <c r="AL190" s="15"/>
      <c r="AM190" s="15"/>
      <c r="AN190" s="15"/>
      <c r="AO190" s="15"/>
    </row>
    <row r="191" spans="1:41" x14ac:dyDescent="0.4">
      <c r="A191" s="15"/>
      <c r="B191" s="15"/>
      <c r="C191" s="15"/>
      <c r="D191" s="15"/>
      <c r="E191" s="15"/>
      <c r="F191" s="15"/>
      <c r="G191" s="15"/>
      <c r="H191" s="15"/>
      <c r="I191" s="15"/>
      <c r="J191" s="15"/>
      <c r="K191" s="47"/>
      <c r="L191" s="47"/>
      <c r="M191" s="47"/>
      <c r="N191" s="47"/>
      <c r="O191" s="47"/>
      <c r="P191" s="47"/>
      <c r="Q191" s="47"/>
      <c r="R191" s="47"/>
      <c r="S191" s="47"/>
      <c r="T191" s="47"/>
      <c r="U191" s="47"/>
      <c r="V191" s="47"/>
      <c r="W191" s="47"/>
      <c r="X191" s="47"/>
      <c r="Y191" s="47"/>
      <c r="Z191" s="47"/>
      <c r="AA191" s="47"/>
      <c r="AB191" s="15"/>
      <c r="AC191" s="15"/>
      <c r="AD191" s="15"/>
      <c r="AE191" s="15"/>
      <c r="AF191" s="15"/>
      <c r="AG191" s="15"/>
      <c r="AH191" s="15"/>
      <c r="AI191" s="15"/>
      <c r="AJ191" s="15"/>
      <c r="AK191" s="15"/>
      <c r="AL191" s="15"/>
      <c r="AM191" s="15"/>
      <c r="AN191" s="15"/>
      <c r="AO191" s="15"/>
    </row>
    <row r="192" spans="1:41" x14ac:dyDescent="0.4">
      <c r="A192" s="15"/>
      <c r="B192" s="15"/>
      <c r="C192" s="15"/>
      <c r="D192" s="15"/>
      <c r="E192" s="15"/>
      <c r="F192" s="15"/>
      <c r="G192" s="15"/>
      <c r="H192" s="15"/>
      <c r="I192" s="15"/>
      <c r="J192" s="15"/>
      <c r="K192" s="47"/>
      <c r="L192" s="47"/>
      <c r="M192" s="47"/>
      <c r="N192" s="47"/>
      <c r="O192" s="47"/>
      <c r="P192" s="47"/>
      <c r="Q192" s="47"/>
      <c r="R192" s="47"/>
      <c r="S192" s="47"/>
      <c r="T192" s="47"/>
      <c r="U192" s="47"/>
      <c r="V192" s="47"/>
      <c r="W192" s="47"/>
      <c r="X192" s="47"/>
      <c r="Y192" s="47"/>
      <c r="Z192" s="47"/>
      <c r="AA192" s="47"/>
      <c r="AB192" s="15"/>
      <c r="AC192" s="15"/>
      <c r="AD192" s="15"/>
      <c r="AE192" s="15"/>
      <c r="AF192" s="15"/>
      <c r="AG192" s="15"/>
      <c r="AH192" s="15"/>
      <c r="AI192" s="15"/>
      <c r="AJ192" s="15"/>
      <c r="AK192" s="15"/>
      <c r="AL192" s="15"/>
      <c r="AM192" s="15"/>
      <c r="AN192" s="15"/>
      <c r="AO192" s="15"/>
    </row>
    <row r="193" spans="1:41" x14ac:dyDescent="0.4">
      <c r="A193" s="15"/>
      <c r="B193" s="15"/>
      <c r="C193" s="15"/>
      <c r="D193" s="15"/>
      <c r="E193" s="15"/>
      <c r="F193" s="15"/>
      <c r="G193" s="15"/>
      <c r="H193" s="15"/>
      <c r="I193" s="15"/>
      <c r="J193" s="15"/>
      <c r="K193" s="47"/>
      <c r="L193" s="47"/>
      <c r="M193" s="47"/>
      <c r="N193" s="47"/>
      <c r="O193" s="47"/>
      <c r="P193" s="47"/>
      <c r="Q193" s="47"/>
      <c r="R193" s="47"/>
      <c r="S193" s="47"/>
      <c r="T193" s="47"/>
      <c r="U193" s="47"/>
      <c r="V193" s="47"/>
      <c r="W193" s="47"/>
      <c r="X193" s="47"/>
      <c r="Y193" s="47"/>
      <c r="Z193" s="47"/>
      <c r="AA193" s="47"/>
      <c r="AB193" s="15"/>
      <c r="AC193" s="15"/>
      <c r="AD193" s="15"/>
      <c r="AE193" s="15"/>
      <c r="AF193" s="15"/>
      <c r="AG193" s="15"/>
      <c r="AH193" s="15"/>
      <c r="AI193" s="15"/>
      <c r="AJ193" s="15"/>
      <c r="AK193" s="15"/>
      <c r="AL193" s="15"/>
      <c r="AM193" s="15"/>
      <c r="AN193" s="15"/>
      <c r="AO193" s="15"/>
    </row>
    <row r="194" spans="1:41" x14ac:dyDescent="0.4">
      <c r="A194" s="15"/>
      <c r="B194" s="15"/>
      <c r="C194" s="15"/>
      <c r="D194" s="15"/>
      <c r="E194" s="15"/>
      <c r="F194" s="15"/>
      <c r="G194" s="15"/>
      <c r="H194" s="15"/>
      <c r="I194" s="15"/>
      <c r="J194" s="15"/>
      <c r="K194" s="47"/>
      <c r="L194" s="47"/>
      <c r="M194" s="47"/>
      <c r="N194" s="47"/>
      <c r="O194" s="47"/>
      <c r="P194" s="47"/>
      <c r="Q194" s="47"/>
      <c r="R194" s="47"/>
      <c r="S194" s="47"/>
      <c r="T194" s="47"/>
      <c r="U194" s="47"/>
      <c r="V194" s="47"/>
      <c r="W194" s="47"/>
      <c r="X194" s="47"/>
      <c r="Y194" s="47"/>
      <c r="Z194" s="47"/>
      <c r="AA194" s="47"/>
      <c r="AB194" s="15"/>
      <c r="AC194" s="15"/>
      <c r="AD194" s="15"/>
      <c r="AE194" s="15"/>
      <c r="AF194" s="15"/>
      <c r="AG194" s="15"/>
      <c r="AH194" s="15"/>
      <c r="AI194" s="15"/>
      <c r="AJ194" s="15"/>
      <c r="AK194" s="15"/>
      <c r="AL194" s="15"/>
      <c r="AM194" s="15"/>
      <c r="AN194" s="15"/>
      <c r="AO194" s="15"/>
    </row>
    <row r="195" spans="1:41" x14ac:dyDescent="0.4">
      <c r="A195" s="15"/>
      <c r="B195" s="15"/>
      <c r="C195" s="15"/>
      <c r="D195" s="15"/>
      <c r="E195" s="15"/>
      <c r="F195" s="15"/>
      <c r="G195" s="15"/>
      <c r="H195" s="15"/>
      <c r="I195" s="15"/>
      <c r="J195" s="15"/>
      <c r="K195" s="47"/>
      <c r="L195" s="47"/>
      <c r="M195" s="47"/>
      <c r="N195" s="47"/>
      <c r="O195" s="47"/>
      <c r="P195" s="47"/>
      <c r="Q195" s="47"/>
      <c r="R195" s="47"/>
      <c r="S195" s="47"/>
      <c r="T195" s="47"/>
      <c r="U195" s="47"/>
      <c r="V195" s="47"/>
      <c r="W195" s="47"/>
      <c r="X195" s="47"/>
      <c r="Y195" s="47"/>
      <c r="Z195" s="47"/>
      <c r="AA195" s="47"/>
      <c r="AB195" s="15"/>
      <c r="AC195" s="15"/>
      <c r="AD195" s="15"/>
      <c r="AE195" s="15"/>
      <c r="AF195" s="15"/>
      <c r="AG195" s="15"/>
      <c r="AH195" s="15"/>
      <c r="AI195" s="15"/>
      <c r="AJ195" s="15"/>
      <c r="AK195" s="15"/>
      <c r="AL195" s="15"/>
      <c r="AM195" s="15"/>
      <c r="AN195" s="15"/>
      <c r="AO195" s="15"/>
    </row>
    <row r="196" spans="1:41" x14ac:dyDescent="0.4">
      <c r="A196" s="15"/>
      <c r="B196" s="15"/>
      <c r="C196" s="15"/>
      <c r="D196" s="15"/>
      <c r="E196" s="15"/>
      <c r="F196" s="15"/>
      <c r="G196" s="15"/>
      <c r="H196" s="15"/>
      <c r="I196" s="15"/>
      <c r="J196" s="15"/>
      <c r="K196" s="47"/>
      <c r="L196" s="47"/>
      <c r="M196" s="47"/>
      <c r="N196" s="47"/>
      <c r="O196" s="47"/>
      <c r="P196" s="47"/>
      <c r="Q196" s="47"/>
      <c r="R196" s="47"/>
      <c r="S196" s="47"/>
      <c r="T196" s="47"/>
      <c r="U196" s="47"/>
      <c r="V196" s="47"/>
      <c r="W196" s="47"/>
      <c r="X196" s="47"/>
      <c r="Y196" s="47"/>
      <c r="Z196" s="47"/>
      <c r="AA196" s="47"/>
      <c r="AB196" s="15"/>
      <c r="AC196" s="15"/>
      <c r="AD196" s="15"/>
      <c r="AE196" s="15"/>
      <c r="AF196" s="15"/>
      <c r="AG196" s="15"/>
      <c r="AH196" s="15"/>
      <c r="AI196" s="15"/>
      <c r="AJ196" s="15"/>
      <c r="AK196" s="15"/>
      <c r="AL196" s="15"/>
      <c r="AM196" s="15"/>
      <c r="AN196" s="15"/>
      <c r="AO196" s="15"/>
    </row>
    <row r="197" spans="1:41" x14ac:dyDescent="0.4">
      <c r="A197" s="15"/>
      <c r="B197" s="15"/>
      <c r="C197" s="15"/>
      <c r="D197" s="15"/>
      <c r="E197" s="15"/>
      <c r="F197" s="15"/>
      <c r="G197" s="15"/>
      <c r="H197" s="15"/>
      <c r="I197" s="15"/>
      <c r="J197" s="15"/>
      <c r="K197" s="47"/>
      <c r="L197" s="47"/>
      <c r="M197" s="47"/>
      <c r="N197" s="47"/>
      <c r="O197" s="47"/>
      <c r="P197" s="47"/>
      <c r="Q197" s="47"/>
      <c r="R197" s="47"/>
      <c r="S197" s="47"/>
      <c r="T197" s="47"/>
      <c r="U197" s="47"/>
      <c r="V197" s="47"/>
      <c r="W197" s="47"/>
      <c r="X197" s="47"/>
      <c r="Y197" s="47"/>
      <c r="Z197" s="47"/>
      <c r="AA197" s="47"/>
      <c r="AB197" s="15"/>
      <c r="AC197" s="15"/>
      <c r="AD197" s="15"/>
      <c r="AE197" s="15"/>
      <c r="AF197" s="15"/>
      <c r="AG197" s="15"/>
      <c r="AH197" s="15"/>
      <c r="AI197" s="15"/>
      <c r="AJ197" s="15"/>
      <c r="AK197" s="15"/>
      <c r="AL197" s="15"/>
      <c r="AM197" s="15"/>
      <c r="AN197" s="15"/>
      <c r="AO197" s="15"/>
    </row>
    <row r="198" spans="1:41" x14ac:dyDescent="0.4">
      <c r="A198" s="15"/>
      <c r="B198" s="15"/>
      <c r="C198" s="15"/>
      <c r="D198" s="15"/>
      <c r="E198" s="15"/>
      <c r="F198" s="15"/>
      <c r="G198" s="15"/>
      <c r="H198" s="15"/>
      <c r="I198" s="15"/>
      <c r="J198" s="15"/>
      <c r="K198" s="47"/>
      <c r="L198" s="47"/>
      <c r="M198" s="47"/>
      <c r="N198" s="47"/>
      <c r="O198" s="47"/>
      <c r="P198" s="47"/>
      <c r="Q198" s="47"/>
      <c r="R198" s="47"/>
      <c r="S198" s="47"/>
      <c r="T198" s="47"/>
      <c r="U198" s="47"/>
      <c r="V198" s="47"/>
      <c r="W198" s="47"/>
      <c r="X198" s="47"/>
      <c r="Y198" s="47"/>
      <c r="Z198" s="47"/>
      <c r="AA198" s="47"/>
      <c r="AB198" s="15"/>
      <c r="AC198" s="15"/>
      <c r="AD198" s="15"/>
      <c r="AE198" s="15"/>
      <c r="AF198" s="15"/>
      <c r="AG198" s="15"/>
      <c r="AH198" s="15"/>
      <c r="AI198" s="15"/>
      <c r="AJ198" s="15"/>
      <c r="AK198" s="15"/>
      <c r="AL198" s="15"/>
      <c r="AM198" s="15"/>
      <c r="AN198" s="15"/>
      <c r="AO198" s="15"/>
    </row>
    <row r="199" spans="1:41" x14ac:dyDescent="0.4">
      <c r="A199" s="15"/>
      <c r="B199" s="15"/>
      <c r="C199" s="15"/>
      <c r="D199" s="15"/>
      <c r="E199" s="15"/>
      <c r="F199" s="15"/>
      <c r="G199" s="15"/>
      <c r="H199" s="15"/>
      <c r="I199" s="15"/>
      <c r="J199" s="15"/>
      <c r="K199" s="47"/>
      <c r="L199" s="47"/>
      <c r="M199" s="47"/>
      <c r="N199" s="47"/>
      <c r="O199" s="47"/>
      <c r="P199" s="47"/>
      <c r="Q199" s="47"/>
      <c r="R199" s="47"/>
      <c r="S199" s="47"/>
      <c r="T199" s="47"/>
      <c r="U199" s="47"/>
      <c r="V199" s="47"/>
      <c r="W199" s="47"/>
      <c r="X199" s="47"/>
      <c r="Y199" s="47"/>
      <c r="Z199" s="47"/>
      <c r="AA199" s="47"/>
      <c r="AB199" s="15"/>
      <c r="AC199" s="15"/>
      <c r="AD199" s="15"/>
      <c r="AE199" s="15"/>
      <c r="AF199" s="15"/>
      <c r="AG199" s="15"/>
      <c r="AH199" s="15"/>
      <c r="AI199" s="15"/>
      <c r="AJ199" s="15"/>
      <c r="AK199" s="15"/>
      <c r="AL199" s="15"/>
      <c r="AM199" s="15"/>
      <c r="AN199" s="15"/>
      <c r="AO199" s="15"/>
    </row>
    <row r="200" spans="1:41" x14ac:dyDescent="0.4">
      <c r="A200" s="15"/>
      <c r="B200" s="15"/>
      <c r="C200" s="15"/>
      <c r="D200" s="15"/>
      <c r="E200" s="15"/>
      <c r="F200" s="15"/>
      <c r="G200" s="15"/>
      <c r="H200" s="15"/>
      <c r="I200" s="15"/>
      <c r="J200" s="15"/>
      <c r="K200" s="47"/>
      <c r="L200" s="47"/>
      <c r="M200" s="47"/>
      <c r="N200" s="47"/>
      <c r="O200" s="47"/>
      <c r="P200" s="47"/>
      <c r="Q200" s="47"/>
      <c r="R200" s="47"/>
      <c r="S200" s="47"/>
      <c r="T200" s="47"/>
      <c r="U200" s="47"/>
      <c r="V200" s="47"/>
      <c r="W200" s="47"/>
      <c r="X200" s="47"/>
      <c r="Y200" s="47"/>
      <c r="Z200" s="47"/>
      <c r="AA200" s="47"/>
      <c r="AB200" s="15"/>
      <c r="AC200" s="15"/>
      <c r="AD200" s="15"/>
      <c r="AE200" s="15"/>
      <c r="AF200" s="15"/>
      <c r="AG200" s="15"/>
      <c r="AH200" s="15"/>
      <c r="AI200" s="15"/>
      <c r="AJ200" s="15"/>
      <c r="AK200" s="15"/>
      <c r="AL200" s="15"/>
      <c r="AM200" s="15"/>
      <c r="AN200" s="15"/>
      <c r="AO200" s="15"/>
    </row>
    <row r="201" spans="1:41" x14ac:dyDescent="0.4">
      <c r="A201" s="15"/>
      <c r="B201" s="15"/>
      <c r="C201" s="15"/>
      <c r="D201" s="15"/>
      <c r="E201" s="15"/>
      <c r="F201" s="15"/>
      <c r="G201" s="15"/>
      <c r="H201" s="15"/>
      <c r="I201" s="15"/>
      <c r="J201" s="15"/>
      <c r="K201" s="47"/>
      <c r="L201" s="47"/>
      <c r="M201" s="47"/>
      <c r="N201" s="47"/>
      <c r="O201" s="47"/>
      <c r="P201" s="47"/>
      <c r="Q201" s="47"/>
      <c r="R201" s="47"/>
      <c r="S201" s="47"/>
      <c r="T201" s="47"/>
      <c r="U201" s="47"/>
      <c r="V201" s="47"/>
      <c r="W201" s="47"/>
      <c r="X201" s="47"/>
      <c r="Y201" s="47"/>
      <c r="Z201" s="47"/>
      <c r="AA201" s="47"/>
      <c r="AB201" s="15"/>
      <c r="AC201" s="15"/>
      <c r="AD201" s="15"/>
      <c r="AE201" s="15"/>
      <c r="AF201" s="15"/>
      <c r="AG201" s="15"/>
      <c r="AH201" s="15"/>
      <c r="AI201" s="15"/>
      <c r="AJ201" s="15"/>
      <c r="AK201" s="15"/>
      <c r="AL201" s="15"/>
      <c r="AM201" s="15"/>
      <c r="AN201" s="15"/>
      <c r="AO201" s="15"/>
    </row>
    <row r="202" spans="1:41" x14ac:dyDescent="0.4">
      <c r="A202" s="15"/>
      <c r="B202" s="15"/>
      <c r="C202" s="15"/>
      <c r="D202" s="15"/>
      <c r="E202" s="15"/>
      <c r="F202" s="15"/>
      <c r="G202" s="15"/>
      <c r="H202" s="15"/>
      <c r="I202" s="15"/>
      <c r="J202" s="15"/>
      <c r="K202" s="47"/>
      <c r="L202" s="47"/>
      <c r="M202" s="47"/>
      <c r="N202" s="47"/>
      <c r="O202" s="47"/>
      <c r="P202" s="47"/>
      <c r="Q202" s="47"/>
      <c r="R202" s="47"/>
      <c r="S202" s="47"/>
      <c r="T202" s="47"/>
      <c r="U202" s="47"/>
      <c r="V202" s="47"/>
      <c r="W202" s="47"/>
      <c r="X202" s="47"/>
      <c r="Y202" s="47"/>
      <c r="Z202" s="47"/>
      <c r="AA202" s="47"/>
      <c r="AB202" s="15"/>
      <c r="AC202" s="15"/>
      <c r="AD202" s="15"/>
      <c r="AE202" s="15"/>
      <c r="AF202" s="15"/>
      <c r="AG202" s="15"/>
      <c r="AH202" s="15"/>
      <c r="AI202" s="15"/>
      <c r="AJ202" s="15"/>
      <c r="AK202" s="15"/>
      <c r="AL202" s="15"/>
      <c r="AM202" s="15"/>
      <c r="AN202" s="15"/>
      <c r="AO202" s="15"/>
    </row>
    <row r="203" spans="1:41" x14ac:dyDescent="0.4">
      <c r="A203" s="15"/>
      <c r="B203" s="15"/>
      <c r="C203" s="15"/>
      <c r="D203" s="15"/>
      <c r="E203" s="15"/>
      <c r="F203" s="15"/>
      <c r="G203" s="15"/>
      <c r="H203" s="15"/>
      <c r="I203" s="15"/>
      <c r="J203" s="15"/>
      <c r="K203" s="47"/>
      <c r="L203" s="47"/>
      <c r="M203" s="47"/>
      <c r="N203" s="47"/>
      <c r="O203" s="47"/>
      <c r="P203" s="47"/>
      <c r="Q203" s="47"/>
      <c r="R203" s="47"/>
      <c r="S203" s="47"/>
      <c r="T203" s="47"/>
      <c r="U203" s="47"/>
      <c r="V203" s="47"/>
      <c r="W203" s="47"/>
      <c r="X203" s="47"/>
      <c r="Y203" s="47"/>
      <c r="Z203" s="47"/>
      <c r="AA203" s="47"/>
      <c r="AB203" s="15"/>
      <c r="AC203" s="15"/>
      <c r="AD203" s="15"/>
      <c r="AE203" s="15"/>
      <c r="AF203" s="15"/>
      <c r="AG203" s="15"/>
      <c r="AH203" s="15"/>
      <c r="AI203" s="15"/>
      <c r="AJ203" s="15"/>
      <c r="AK203" s="15"/>
      <c r="AL203" s="15"/>
      <c r="AM203" s="15"/>
      <c r="AN203" s="15"/>
      <c r="AO203" s="15"/>
    </row>
    <row r="204" spans="1:41" x14ac:dyDescent="0.4">
      <c r="A204" s="15"/>
      <c r="B204" s="15"/>
      <c r="C204" s="15"/>
      <c r="D204" s="15"/>
      <c r="E204" s="15"/>
      <c r="F204" s="15"/>
      <c r="G204" s="15"/>
      <c r="H204" s="15"/>
      <c r="I204" s="15"/>
      <c r="J204" s="15"/>
      <c r="K204" s="47"/>
      <c r="L204" s="47"/>
      <c r="M204" s="47"/>
      <c r="N204" s="47"/>
      <c r="O204" s="47"/>
      <c r="P204" s="47"/>
      <c r="Q204" s="47"/>
      <c r="R204" s="47"/>
      <c r="S204" s="47"/>
      <c r="T204" s="47"/>
      <c r="U204" s="47"/>
      <c r="V204" s="47"/>
      <c r="W204" s="47"/>
      <c r="X204" s="47"/>
      <c r="Y204" s="47"/>
      <c r="Z204" s="47"/>
      <c r="AA204" s="47"/>
      <c r="AB204" s="15"/>
      <c r="AC204" s="15"/>
      <c r="AD204" s="15"/>
      <c r="AE204" s="15"/>
      <c r="AF204" s="15"/>
      <c r="AG204" s="15"/>
      <c r="AH204" s="15"/>
      <c r="AI204" s="15"/>
      <c r="AJ204" s="15"/>
      <c r="AK204" s="15"/>
      <c r="AL204" s="15"/>
      <c r="AM204" s="15"/>
      <c r="AN204" s="15"/>
      <c r="AO204" s="15"/>
    </row>
    <row r="205" spans="1:41" x14ac:dyDescent="0.4">
      <c r="A205" s="15"/>
      <c r="B205" s="15"/>
      <c r="C205" s="15"/>
      <c r="D205" s="15"/>
      <c r="E205" s="15"/>
      <c r="F205" s="15"/>
      <c r="G205" s="15"/>
      <c r="H205" s="15"/>
      <c r="I205" s="15"/>
      <c r="J205" s="15"/>
      <c r="K205" s="47"/>
      <c r="L205" s="47"/>
      <c r="M205" s="47"/>
      <c r="N205" s="47"/>
      <c r="O205" s="47"/>
      <c r="P205" s="47"/>
      <c r="Q205" s="47"/>
      <c r="R205" s="47"/>
      <c r="S205" s="47"/>
      <c r="T205" s="47"/>
      <c r="U205" s="47"/>
      <c r="V205" s="47"/>
      <c r="W205" s="47"/>
      <c r="X205" s="47"/>
      <c r="Y205" s="47"/>
      <c r="Z205" s="47"/>
      <c r="AA205" s="47"/>
      <c r="AB205" s="15"/>
      <c r="AC205" s="15"/>
      <c r="AD205" s="15"/>
      <c r="AE205" s="15"/>
      <c r="AF205" s="15"/>
      <c r="AG205" s="15"/>
      <c r="AH205" s="15"/>
      <c r="AI205" s="15"/>
      <c r="AJ205" s="15"/>
      <c r="AK205" s="15"/>
      <c r="AL205" s="15"/>
      <c r="AM205" s="15"/>
      <c r="AN205" s="15"/>
      <c r="AO205" s="15"/>
    </row>
    <row r="206" spans="1:41" x14ac:dyDescent="0.4">
      <c r="A206" s="15"/>
      <c r="B206" s="15"/>
      <c r="C206" s="15"/>
      <c r="D206" s="15"/>
      <c r="E206" s="15"/>
      <c r="F206" s="15"/>
      <c r="G206" s="15"/>
      <c r="H206" s="15"/>
      <c r="I206" s="15"/>
      <c r="J206" s="15"/>
      <c r="K206" s="47"/>
      <c r="L206" s="47"/>
      <c r="M206" s="47"/>
      <c r="N206" s="47"/>
      <c r="O206" s="47"/>
      <c r="P206" s="47"/>
      <c r="Q206" s="47"/>
      <c r="R206" s="47"/>
      <c r="S206" s="47"/>
      <c r="T206" s="47"/>
      <c r="U206" s="47"/>
      <c r="V206" s="47"/>
      <c r="W206" s="47"/>
      <c r="X206" s="47"/>
      <c r="Y206" s="47"/>
      <c r="Z206" s="47"/>
      <c r="AA206" s="47"/>
      <c r="AB206" s="15"/>
      <c r="AC206" s="15"/>
      <c r="AD206" s="15"/>
      <c r="AE206" s="15"/>
      <c r="AF206" s="15"/>
      <c r="AG206" s="15"/>
      <c r="AH206" s="15"/>
      <c r="AI206" s="15"/>
      <c r="AJ206" s="15"/>
      <c r="AK206" s="15"/>
      <c r="AL206" s="15"/>
      <c r="AM206" s="15"/>
      <c r="AN206" s="15"/>
      <c r="AO206" s="15"/>
    </row>
    <row r="207" spans="1:41" x14ac:dyDescent="0.4">
      <c r="A207" s="15"/>
      <c r="B207" s="15"/>
      <c r="C207" s="15"/>
      <c r="D207" s="15"/>
      <c r="E207" s="15"/>
      <c r="F207" s="15"/>
      <c r="G207" s="15"/>
      <c r="H207" s="15"/>
      <c r="I207" s="15"/>
      <c r="J207" s="15"/>
      <c r="K207" s="47"/>
      <c r="L207" s="47"/>
      <c r="M207" s="47"/>
      <c r="N207" s="47"/>
      <c r="O207" s="47"/>
      <c r="P207" s="47"/>
      <c r="Q207" s="47"/>
      <c r="R207" s="47"/>
      <c r="S207" s="47"/>
      <c r="T207" s="47"/>
      <c r="U207" s="47"/>
      <c r="V207" s="47"/>
      <c r="W207" s="47"/>
      <c r="X207" s="47"/>
      <c r="Y207" s="47"/>
      <c r="Z207" s="47"/>
      <c r="AA207" s="47"/>
      <c r="AB207" s="15"/>
      <c r="AC207" s="15"/>
      <c r="AD207" s="15"/>
      <c r="AE207" s="15"/>
      <c r="AF207" s="15"/>
      <c r="AG207" s="15"/>
      <c r="AH207" s="15"/>
      <c r="AI207" s="15"/>
      <c r="AJ207" s="15"/>
      <c r="AK207" s="15"/>
      <c r="AL207" s="15"/>
      <c r="AM207" s="15"/>
      <c r="AN207" s="15"/>
      <c r="AO207" s="15"/>
    </row>
    <row r="208" spans="1:41" x14ac:dyDescent="0.4">
      <c r="A208" s="15"/>
      <c r="B208" s="15"/>
      <c r="C208" s="15"/>
      <c r="D208" s="15"/>
      <c r="E208" s="15"/>
      <c r="F208" s="15"/>
      <c r="G208" s="15"/>
      <c r="H208" s="15"/>
      <c r="I208" s="15"/>
      <c r="J208" s="15"/>
      <c r="K208" s="47"/>
      <c r="L208" s="47"/>
      <c r="M208" s="47"/>
      <c r="N208" s="47"/>
      <c r="O208" s="47"/>
      <c r="P208" s="47"/>
      <c r="Q208" s="47"/>
      <c r="R208" s="47"/>
      <c r="S208" s="47"/>
      <c r="T208" s="47"/>
      <c r="U208" s="47"/>
      <c r="V208" s="47"/>
      <c r="W208" s="47"/>
      <c r="X208" s="47"/>
      <c r="Y208" s="47"/>
      <c r="Z208" s="47"/>
      <c r="AA208" s="47"/>
      <c r="AB208" s="15"/>
      <c r="AC208" s="15"/>
      <c r="AD208" s="15"/>
      <c r="AE208" s="15"/>
      <c r="AF208" s="15"/>
      <c r="AG208" s="15"/>
      <c r="AH208" s="15"/>
      <c r="AI208" s="15"/>
      <c r="AJ208" s="15"/>
      <c r="AK208" s="15"/>
      <c r="AL208" s="15"/>
      <c r="AM208" s="15"/>
      <c r="AN208" s="15"/>
      <c r="AO208" s="15"/>
    </row>
    <row r="209" spans="1:41" x14ac:dyDescent="0.4">
      <c r="A209" s="15"/>
      <c r="B209" s="15"/>
      <c r="C209" s="15"/>
      <c r="D209" s="15"/>
      <c r="E209" s="15"/>
      <c r="F209" s="15"/>
      <c r="G209" s="15"/>
      <c r="H209" s="15"/>
      <c r="I209" s="15"/>
      <c r="J209" s="15"/>
      <c r="K209" s="47"/>
      <c r="L209" s="47"/>
      <c r="M209" s="47"/>
      <c r="N209" s="47"/>
      <c r="O209" s="47"/>
      <c r="P209" s="47"/>
      <c r="Q209" s="47"/>
      <c r="R209" s="47"/>
      <c r="S209" s="47"/>
      <c r="T209" s="47"/>
      <c r="U209" s="47"/>
      <c r="V209" s="47"/>
      <c r="W209" s="47"/>
      <c r="X209" s="47"/>
      <c r="Y209" s="47"/>
      <c r="Z209" s="47"/>
      <c r="AA209" s="47"/>
      <c r="AB209" s="15"/>
      <c r="AC209" s="15"/>
      <c r="AD209" s="15"/>
      <c r="AE209" s="15"/>
      <c r="AF209" s="15"/>
      <c r="AG209" s="15"/>
      <c r="AH209" s="15"/>
      <c r="AI209" s="15"/>
      <c r="AJ209" s="15"/>
      <c r="AK209" s="15"/>
      <c r="AL209" s="15"/>
      <c r="AM209" s="15"/>
      <c r="AN209" s="15"/>
      <c r="AO209" s="15"/>
    </row>
    <row r="210" spans="1:41" x14ac:dyDescent="0.4">
      <c r="A210" s="15"/>
      <c r="B210" s="15"/>
      <c r="C210" s="15"/>
      <c r="D210" s="15"/>
      <c r="E210" s="15"/>
      <c r="F210" s="15"/>
      <c r="G210" s="15"/>
      <c r="H210" s="15"/>
      <c r="I210" s="15"/>
      <c r="J210" s="15"/>
      <c r="K210" s="47"/>
      <c r="L210" s="47"/>
      <c r="M210" s="47"/>
      <c r="N210" s="47"/>
      <c r="O210" s="47"/>
      <c r="P210" s="47"/>
      <c r="Q210" s="47"/>
      <c r="R210" s="47"/>
      <c r="S210" s="47"/>
      <c r="T210" s="47"/>
      <c r="U210" s="47"/>
      <c r="V210" s="47"/>
      <c r="W210" s="47"/>
      <c r="X210" s="47"/>
      <c r="Y210" s="47"/>
      <c r="Z210" s="47"/>
      <c r="AA210" s="47"/>
      <c r="AB210" s="15"/>
      <c r="AC210" s="15"/>
      <c r="AD210" s="15"/>
      <c r="AE210" s="15"/>
      <c r="AF210" s="15"/>
      <c r="AG210" s="15"/>
      <c r="AH210" s="15"/>
      <c r="AI210" s="15"/>
      <c r="AJ210" s="15"/>
      <c r="AK210" s="15"/>
      <c r="AL210" s="15"/>
      <c r="AM210" s="15"/>
      <c r="AN210" s="15"/>
      <c r="AO210" s="15"/>
    </row>
    <row r="211" spans="1:41" x14ac:dyDescent="0.4">
      <c r="A211" s="15"/>
      <c r="B211" s="15"/>
      <c r="C211" s="15"/>
      <c r="D211" s="15"/>
      <c r="E211" s="15"/>
      <c r="F211" s="15"/>
      <c r="G211" s="15"/>
      <c r="H211" s="15"/>
      <c r="I211" s="15"/>
      <c r="J211" s="15"/>
      <c r="K211" s="47"/>
      <c r="L211" s="47"/>
      <c r="M211" s="47"/>
      <c r="N211" s="47"/>
      <c r="O211" s="47"/>
      <c r="P211" s="47"/>
      <c r="Q211" s="47"/>
      <c r="R211" s="47"/>
      <c r="S211" s="47"/>
      <c r="T211" s="47"/>
      <c r="U211" s="47"/>
      <c r="V211" s="47"/>
      <c r="W211" s="47"/>
      <c r="X211" s="47"/>
      <c r="Y211" s="47"/>
      <c r="Z211" s="47"/>
      <c r="AA211" s="47"/>
      <c r="AB211" s="15"/>
      <c r="AC211" s="15"/>
      <c r="AD211" s="15"/>
      <c r="AE211" s="15"/>
      <c r="AF211" s="15"/>
      <c r="AG211" s="15"/>
      <c r="AH211" s="15"/>
      <c r="AI211" s="15"/>
      <c r="AJ211" s="15"/>
      <c r="AK211" s="15"/>
      <c r="AL211" s="15"/>
      <c r="AM211" s="15"/>
      <c r="AN211" s="15"/>
      <c r="AO211" s="15"/>
    </row>
    <row r="212" spans="1:41" x14ac:dyDescent="0.4">
      <c r="A212" s="15"/>
      <c r="B212" s="15"/>
      <c r="C212" s="15"/>
      <c r="D212" s="15"/>
      <c r="E212" s="15"/>
      <c r="F212" s="15"/>
      <c r="G212" s="15"/>
      <c r="H212" s="15"/>
      <c r="I212" s="15"/>
      <c r="J212" s="15"/>
      <c r="K212" s="47"/>
      <c r="L212" s="47"/>
      <c r="M212" s="47"/>
      <c r="N212" s="47"/>
      <c r="O212" s="47"/>
      <c r="P212" s="47"/>
      <c r="Q212" s="47"/>
      <c r="R212" s="47"/>
      <c r="S212" s="47"/>
      <c r="T212" s="47"/>
      <c r="U212" s="47"/>
      <c r="V212" s="47"/>
      <c r="W212" s="47"/>
      <c r="X212" s="47"/>
      <c r="Y212" s="47"/>
      <c r="Z212" s="47"/>
      <c r="AA212" s="47"/>
      <c r="AB212" s="15"/>
      <c r="AC212" s="15"/>
      <c r="AD212" s="15"/>
      <c r="AE212" s="15"/>
      <c r="AF212" s="15"/>
      <c r="AG212" s="15"/>
      <c r="AH212" s="15"/>
      <c r="AI212" s="15"/>
      <c r="AJ212" s="15"/>
      <c r="AK212" s="15"/>
      <c r="AL212" s="15"/>
      <c r="AM212" s="15"/>
      <c r="AN212" s="15"/>
      <c r="AO212" s="15"/>
    </row>
    <row r="213" spans="1:41" x14ac:dyDescent="0.4">
      <c r="A213" s="15"/>
      <c r="B213" s="15"/>
      <c r="C213" s="15"/>
      <c r="D213" s="15"/>
      <c r="E213" s="15"/>
      <c r="F213" s="15"/>
      <c r="G213" s="15"/>
      <c r="H213" s="15"/>
      <c r="I213" s="15"/>
      <c r="J213" s="15"/>
      <c r="K213" s="47"/>
      <c r="L213" s="47"/>
      <c r="M213" s="47"/>
      <c r="N213" s="47"/>
      <c r="O213" s="47"/>
      <c r="P213" s="47"/>
      <c r="Q213" s="47"/>
      <c r="R213" s="47"/>
      <c r="S213" s="47"/>
      <c r="T213" s="47"/>
      <c r="U213" s="47"/>
      <c r="V213" s="47"/>
      <c r="W213" s="47"/>
      <c r="X213" s="47"/>
      <c r="Y213" s="47"/>
      <c r="Z213" s="47"/>
      <c r="AA213" s="47"/>
      <c r="AB213" s="15"/>
      <c r="AC213" s="15"/>
      <c r="AD213" s="15"/>
      <c r="AE213" s="15"/>
      <c r="AF213" s="15"/>
      <c r="AG213" s="15"/>
      <c r="AH213" s="15"/>
      <c r="AI213" s="15"/>
      <c r="AJ213" s="15"/>
      <c r="AK213" s="15"/>
      <c r="AL213" s="15"/>
      <c r="AM213" s="15"/>
      <c r="AN213" s="15"/>
      <c r="AO213" s="15"/>
    </row>
    <row r="214" spans="1:41" x14ac:dyDescent="0.4">
      <c r="A214" s="15"/>
      <c r="B214" s="15"/>
      <c r="C214" s="15"/>
      <c r="D214" s="15"/>
      <c r="E214" s="15"/>
      <c r="F214" s="15"/>
      <c r="G214" s="15"/>
      <c r="H214" s="15"/>
      <c r="I214" s="15"/>
      <c r="J214" s="15"/>
      <c r="K214" s="47"/>
      <c r="L214" s="47"/>
      <c r="M214" s="47"/>
      <c r="N214" s="47"/>
      <c r="O214" s="47"/>
      <c r="P214" s="47"/>
      <c r="Q214" s="47"/>
      <c r="R214" s="47"/>
      <c r="S214" s="47"/>
      <c r="T214" s="47"/>
      <c r="U214" s="47"/>
      <c r="V214" s="47"/>
      <c r="W214" s="47"/>
      <c r="X214" s="47"/>
      <c r="Y214" s="47"/>
      <c r="Z214" s="47"/>
      <c r="AA214" s="47"/>
      <c r="AB214" s="15"/>
      <c r="AC214" s="15"/>
      <c r="AD214" s="15"/>
      <c r="AE214" s="15"/>
      <c r="AF214" s="15"/>
      <c r="AG214" s="15"/>
      <c r="AH214" s="15"/>
      <c r="AI214" s="15"/>
      <c r="AJ214" s="15"/>
      <c r="AK214" s="15"/>
      <c r="AL214" s="15"/>
      <c r="AM214" s="15"/>
      <c r="AN214" s="15"/>
      <c r="AO214" s="15"/>
    </row>
    <row r="215" spans="1:41" x14ac:dyDescent="0.4">
      <c r="A215" s="15"/>
      <c r="B215" s="15"/>
      <c r="C215" s="15"/>
      <c r="D215" s="15"/>
      <c r="E215" s="15"/>
      <c r="F215" s="15"/>
      <c r="G215" s="15"/>
      <c r="H215" s="15"/>
      <c r="I215" s="15"/>
      <c r="J215" s="15"/>
      <c r="K215" s="47"/>
      <c r="L215" s="47"/>
      <c r="M215" s="47"/>
      <c r="N215" s="47"/>
      <c r="O215" s="47"/>
      <c r="P215" s="47"/>
      <c r="Q215" s="47"/>
      <c r="R215" s="47"/>
      <c r="S215" s="47"/>
      <c r="T215" s="47"/>
      <c r="U215" s="47"/>
      <c r="V215" s="47"/>
      <c r="W215" s="47"/>
      <c r="X215" s="47"/>
      <c r="Y215" s="47"/>
      <c r="Z215" s="47"/>
      <c r="AA215" s="47"/>
      <c r="AB215" s="15"/>
      <c r="AC215" s="15"/>
      <c r="AD215" s="15"/>
      <c r="AE215" s="15"/>
      <c r="AF215" s="15"/>
      <c r="AG215" s="15"/>
      <c r="AH215" s="15"/>
      <c r="AI215" s="15"/>
      <c r="AJ215" s="15"/>
      <c r="AK215" s="15"/>
      <c r="AL215" s="15"/>
      <c r="AM215" s="15"/>
      <c r="AN215" s="15"/>
      <c r="AO215" s="15"/>
    </row>
    <row r="216" spans="1:41" x14ac:dyDescent="0.4">
      <c r="A216" s="15"/>
      <c r="B216" s="15"/>
      <c r="C216" s="15"/>
      <c r="D216" s="15"/>
      <c r="E216" s="15"/>
      <c r="F216" s="15"/>
      <c r="G216" s="15"/>
      <c r="H216" s="15"/>
      <c r="I216" s="15"/>
      <c r="J216" s="15"/>
      <c r="K216" s="47"/>
      <c r="L216" s="47"/>
      <c r="M216" s="47"/>
      <c r="N216" s="47"/>
      <c r="O216" s="47"/>
      <c r="P216" s="47"/>
      <c r="Q216" s="47"/>
      <c r="R216" s="47"/>
      <c r="S216" s="47"/>
      <c r="T216" s="47"/>
      <c r="U216" s="47"/>
      <c r="V216" s="47"/>
      <c r="W216" s="47"/>
      <c r="X216" s="47"/>
      <c r="Y216" s="47"/>
      <c r="Z216" s="47"/>
      <c r="AA216" s="47"/>
      <c r="AB216" s="15"/>
      <c r="AC216" s="15"/>
      <c r="AD216" s="15"/>
      <c r="AE216" s="15"/>
      <c r="AF216" s="15"/>
      <c r="AG216" s="15"/>
      <c r="AH216" s="15"/>
      <c r="AI216" s="15"/>
      <c r="AJ216" s="15"/>
      <c r="AK216" s="15"/>
      <c r="AL216" s="15"/>
      <c r="AM216" s="15"/>
      <c r="AN216" s="15"/>
      <c r="AO216" s="15"/>
    </row>
    <row r="217" spans="1:41" x14ac:dyDescent="0.4">
      <c r="A217" s="15"/>
      <c r="B217" s="15"/>
      <c r="C217" s="15"/>
      <c r="D217" s="15"/>
      <c r="E217" s="15"/>
      <c r="F217" s="15"/>
      <c r="G217" s="15"/>
      <c r="H217" s="15"/>
      <c r="I217" s="15"/>
      <c r="J217" s="15"/>
      <c r="K217" s="47"/>
      <c r="L217" s="47"/>
      <c r="M217" s="47"/>
      <c r="N217" s="47"/>
      <c r="O217" s="47"/>
      <c r="P217" s="47"/>
      <c r="Q217" s="47"/>
      <c r="R217" s="47"/>
      <c r="S217" s="47"/>
      <c r="T217" s="47"/>
      <c r="U217" s="47"/>
      <c r="V217" s="47"/>
      <c r="W217" s="47"/>
      <c r="X217" s="47"/>
      <c r="Y217" s="47"/>
      <c r="Z217" s="47"/>
      <c r="AA217" s="47"/>
      <c r="AB217" s="15"/>
      <c r="AC217" s="15"/>
      <c r="AD217" s="15"/>
      <c r="AE217" s="15"/>
      <c r="AF217" s="15"/>
      <c r="AG217" s="15"/>
      <c r="AH217" s="15"/>
      <c r="AI217" s="15"/>
      <c r="AJ217" s="15"/>
      <c r="AK217" s="15"/>
      <c r="AL217" s="15"/>
      <c r="AM217" s="15"/>
      <c r="AN217" s="15"/>
      <c r="AO217" s="15"/>
    </row>
    <row r="218" spans="1:41" x14ac:dyDescent="0.4">
      <c r="A218" s="15"/>
      <c r="B218" s="15"/>
      <c r="C218" s="15"/>
      <c r="D218" s="15"/>
      <c r="E218" s="15"/>
      <c r="F218" s="15"/>
      <c r="G218" s="15"/>
      <c r="H218" s="15"/>
      <c r="I218" s="15"/>
      <c r="J218" s="15"/>
      <c r="K218" s="47"/>
      <c r="L218" s="47"/>
      <c r="M218" s="47"/>
      <c r="N218" s="47"/>
      <c r="O218" s="47"/>
      <c r="P218" s="47"/>
      <c r="Q218" s="47"/>
      <c r="R218" s="47"/>
      <c r="S218" s="47"/>
      <c r="T218" s="47"/>
      <c r="U218" s="47"/>
      <c r="V218" s="47"/>
      <c r="W218" s="47"/>
      <c r="X218" s="47"/>
      <c r="Y218" s="47"/>
      <c r="Z218" s="47"/>
      <c r="AA218" s="47"/>
      <c r="AB218" s="15"/>
      <c r="AC218" s="15"/>
      <c r="AD218" s="15"/>
      <c r="AE218" s="15"/>
      <c r="AF218" s="15"/>
      <c r="AG218" s="15"/>
      <c r="AH218" s="15"/>
      <c r="AI218" s="15"/>
      <c r="AJ218" s="15"/>
      <c r="AK218" s="15"/>
      <c r="AL218" s="15"/>
      <c r="AM218" s="15"/>
      <c r="AN218" s="15"/>
      <c r="AO218" s="15"/>
    </row>
    <row r="219" spans="1:41" x14ac:dyDescent="0.4">
      <c r="A219" s="15"/>
      <c r="B219" s="15"/>
      <c r="C219" s="15"/>
      <c r="D219" s="15"/>
      <c r="E219" s="15"/>
      <c r="F219" s="15"/>
      <c r="G219" s="15"/>
      <c r="H219" s="15"/>
      <c r="I219" s="15"/>
      <c r="J219" s="15"/>
      <c r="K219" s="47"/>
      <c r="L219" s="47"/>
      <c r="M219" s="47"/>
      <c r="N219" s="47"/>
      <c r="O219" s="47"/>
      <c r="P219" s="47"/>
      <c r="Q219" s="47"/>
      <c r="R219" s="47"/>
      <c r="S219" s="47"/>
      <c r="T219" s="47"/>
      <c r="U219" s="47"/>
      <c r="V219" s="47"/>
      <c r="W219" s="47"/>
      <c r="X219" s="47"/>
      <c r="Y219" s="47"/>
      <c r="Z219" s="47"/>
      <c r="AA219" s="47"/>
      <c r="AB219" s="15"/>
      <c r="AC219" s="15"/>
      <c r="AD219" s="15"/>
      <c r="AE219" s="15"/>
      <c r="AF219" s="15"/>
      <c r="AG219" s="15"/>
      <c r="AH219" s="15"/>
      <c r="AI219" s="15"/>
      <c r="AJ219" s="15"/>
      <c r="AK219" s="15"/>
      <c r="AL219" s="15"/>
      <c r="AM219" s="15"/>
      <c r="AN219" s="15"/>
      <c r="AO219" s="15"/>
    </row>
    <row r="220" spans="1:41" x14ac:dyDescent="0.4">
      <c r="A220" s="15"/>
      <c r="B220" s="15"/>
      <c r="C220" s="15"/>
      <c r="D220" s="15"/>
      <c r="E220" s="15"/>
      <c r="F220" s="15"/>
      <c r="G220" s="15"/>
      <c r="H220" s="15"/>
      <c r="I220" s="15"/>
      <c r="J220" s="15"/>
      <c r="K220" s="47"/>
      <c r="L220" s="47"/>
      <c r="M220" s="47"/>
      <c r="N220" s="47"/>
      <c r="O220" s="47"/>
      <c r="P220" s="47"/>
      <c r="Q220" s="47"/>
      <c r="R220" s="47"/>
      <c r="S220" s="47"/>
      <c r="T220" s="47"/>
      <c r="U220" s="47"/>
      <c r="V220" s="47"/>
      <c r="W220" s="47"/>
      <c r="X220" s="47"/>
      <c r="Y220" s="47"/>
      <c r="Z220" s="47"/>
      <c r="AA220" s="47"/>
      <c r="AB220" s="15"/>
      <c r="AC220" s="15"/>
      <c r="AD220" s="15"/>
      <c r="AE220" s="15"/>
      <c r="AF220" s="15"/>
      <c r="AG220" s="15"/>
      <c r="AH220" s="15"/>
      <c r="AI220" s="15"/>
      <c r="AJ220" s="15"/>
      <c r="AK220" s="15"/>
      <c r="AL220" s="15"/>
      <c r="AM220" s="15"/>
      <c r="AN220" s="15"/>
      <c r="AO220" s="15"/>
    </row>
    <row r="221" spans="1:41" x14ac:dyDescent="0.4">
      <c r="A221" s="15"/>
      <c r="B221" s="15"/>
      <c r="C221" s="15"/>
      <c r="D221" s="15"/>
      <c r="E221" s="15"/>
      <c r="F221" s="15"/>
      <c r="G221" s="15"/>
      <c r="H221" s="15"/>
      <c r="I221" s="15"/>
      <c r="J221" s="15"/>
      <c r="K221" s="47"/>
      <c r="L221" s="47"/>
      <c r="M221" s="47"/>
      <c r="N221" s="47"/>
      <c r="O221" s="47"/>
      <c r="P221" s="47"/>
      <c r="Q221" s="47"/>
      <c r="R221" s="47"/>
      <c r="S221" s="47"/>
      <c r="T221" s="47"/>
      <c r="U221" s="47"/>
      <c r="V221" s="47"/>
      <c r="W221" s="47"/>
      <c r="X221" s="47"/>
      <c r="Y221" s="47"/>
      <c r="Z221" s="47"/>
      <c r="AA221" s="47"/>
      <c r="AB221" s="15"/>
      <c r="AC221" s="15"/>
      <c r="AD221" s="15"/>
      <c r="AE221" s="15"/>
      <c r="AF221" s="15"/>
      <c r="AG221" s="15"/>
      <c r="AH221" s="15"/>
      <c r="AI221" s="15"/>
      <c r="AJ221" s="15"/>
      <c r="AK221" s="15"/>
      <c r="AL221" s="15"/>
      <c r="AM221" s="15"/>
      <c r="AN221" s="15"/>
      <c r="AO221" s="15"/>
    </row>
    <row r="222" spans="1:41" x14ac:dyDescent="0.4">
      <c r="A222" s="15"/>
      <c r="B222" s="15"/>
      <c r="C222" s="15"/>
      <c r="D222" s="15"/>
      <c r="E222" s="15"/>
      <c r="F222" s="15"/>
      <c r="G222" s="15"/>
      <c r="H222" s="15"/>
      <c r="I222" s="15"/>
      <c r="J222" s="15"/>
      <c r="K222" s="47"/>
      <c r="L222" s="47"/>
      <c r="M222" s="47"/>
      <c r="N222" s="47"/>
      <c r="O222" s="47"/>
      <c r="P222" s="47"/>
      <c r="Q222" s="47"/>
      <c r="R222" s="47"/>
      <c r="S222" s="47"/>
      <c r="T222" s="47"/>
      <c r="U222" s="47"/>
      <c r="V222" s="47"/>
      <c r="W222" s="47"/>
      <c r="X222" s="47"/>
      <c r="Y222" s="47"/>
      <c r="Z222" s="47"/>
      <c r="AA222" s="47"/>
      <c r="AB222" s="15"/>
      <c r="AC222" s="15"/>
      <c r="AD222" s="15"/>
      <c r="AE222" s="15"/>
      <c r="AF222" s="15"/>
      <c r="AG222" s="15"/>
      <c r="AH222" s="15"/>
      <c r="AI222" s="15"/>
      <c r="AJ222" s="15"/>
      <c r="AK222" s="15"/>
      <c r="AL222" s="15"/>
      <c r="AM222" s="15"/>
      <c r="AN222" s="15"/>
      <c r="AO222" s="15"/>
    </row>
    <row r="223" spans="1:41" x14ac:dyDescent="0.4">
      <c r="A223" s="15"/>
      <c r="B223" s="15"/>
      <c r="C223" s="15"/>
      <c r="D223" s="15"/>
      <c r="E223" s="15"/>
      <c r="F223" s="15"/>
      <c r="G223" s="15"/>
      <c r="H223" s="15"/>
      <c r="I223" s="15"/>
      <c r="J223" s="15"/>
      <c r="K223" s="47"/>
      <c r="L223" s="47"/>
      <c r="M223" s="47"/>
      <c r="N223" s="47"/>
      <c r="O223" s="47"/>
      <c r="P223" s="47"/>
      <c r="Q223" s="47"/>
      <c r="R223" s="47"/>
      <c r="S223" s="47"/>
      <c r="T223" s="47"/>
      <c r="U223" s="47"/>
      <c r="V223" s="47"/>
      <c r="W223" s="47"/>
      <c r="X223" s="47"/>
      <c r="Y223" s="47"/>
      <c r="Z223" s="47"/>
      <c r="AA223" s="47"/>
      <c r="AB223" s="15"/>
      <c r="AC223" s="15"/>
      <c r="AD223" s="15"/>
      <c r="AE223" s="15"/>
      <c r="AF223" s="15"/>
      <c r="AG223" s="15"/>
      <c r="AH223" s="15"/>
      <c r="AI223" s="15"/>
      <c r="AJ223" s="15"/>
      <c r="AK223" s="15"/>
      <c r="AL223" s="15"/>
      <c r="AM223" s="15"/>
      <c r="AN223" s="15"/>
      <c r="AO223" s="15"/>
    </row>
    <row r="224" spans="1:41" x14ac:dyDescent="0.4">
      <c r="A224" s="15"/>
      <c r="B224" s="15"/>
      <c r="C224" s="15"/>
      <c r="D224" s="15"/>
      <c r="E224" s="15"/>
      <c r="F224" s="15"/>
      <c r="G224" s="15"/>
      <c r="H224" s="15"/>
      <c r="I224" s="15"/>
      <c r="J224" s="15"/>
      <c r="K224" s="47"/>
      <c r="L224" s="47"/>
      <c r="M224" s="47"/>
      <c r="N224" s="47"/>
      <c r="O224" s="47"/>
      <c r="P224" s="47"/>
      <c r="Q224" s="47"/>
      <c r="R224" s="47"/>
      <c r="S224" s="47"/>
      <c r="T224" s="47"/>
      <c r="U224" s="47"/>
      <c r="V224" s="47"/>
      <c r="W224" s="47"/>
      <c r="X224" s="47"/>
      <c r="Y224" s="47"/>
      <c r="Z224" s="47"/>
      <c r="AA224" s="47"/>
      <c r="AB224" s="15"/>
      <c r="AC224" s="15"/>
      <c r="AD224" s="15"/>
      <c r="AE224" s="15"/>
      <c r="AF224" s="15"/>
      <c r="AG224" s="15"/>
      <c r="AH224" s="15"/>
      <c r="AI224" s="15"/>
      <c r="AJ224" s="15"/>
      <c r="AK224" s="15"/>
      <c r="AL224" s="15"/>
      <c r="AM224" s="15"/>
      <c r="AN224" s="15"/>
      <c r="AO224" s="15"/>
    </row>
    <row r="225" spans="1:41" x14ac:dyDescent="0.4">
      <c r="A225" s="15"/>
      <c r="B225" s="15"/>
      <c r="C225" s="15"/>
      <c r="D225" s="15"/>
      <c r="E225" s="15"/>
      <c r="F225" s="15"/>
      <c r="G225" s="15"/>
      <c r="H225" s="15"/>
      <c r="I225" s="15"/>
      <c r="J225" s="15"/>
      <c r="K225" s="47"/>
      <c r="L225" s="47"/>
      <c r="M225" s="47"/>
      <c r="N225" s="47"/>
      <c r="O225" s="47"/>
      <c r="P225" s="47"/>
      <c r="Q225" s="47"/>
      <c r="R225" s="47"/>
      <c r="S225" s="47"/>
      <c r="T225" s="47"/>
      <c r="U225" s="47"/>
      <c r="V225" s="47"/>
      <c r="W225" s="47"/>
      <c r="X225" s="47"/>
      <c r="Y225" s="47"/>
      <c r="Z225" s="47"/>
      <c r="AA225" s="47"/>
      <c r="AB225" s="15"/>
      <c r="AC225" s="15"/>
      <c r="AD225" s="15"/>
      <c r="AE225" s="15"/>
      <c r="AF225" s="15"/>
      <c r="AG225" s="15"/>
      <c r="AH225" s="15"/>
      <c r="AI225" s="15"/>
      <c r="AJ225" s="15"/>
      <c r="AK225" s="15"/>
      <c r="AL225" s="15"/>
      <c r="AM225" s="15"/>
      <c r="AN225" s="15"/>
      <c r="AO225" s="15"/>
    </row>
    <row r="226" spans="1:41" x14ac:dyDescent="0.4">
      <c r="A226" s="15"/>
      <c r="B226" s="15"/>
      <c r="C226" s="15"/>
      <c r="D226" s="15"/>
      <c r="E226" s="15"/>
      <c r="F226" s="15"/>
      <c r="G226" s="15"/>
      <c r="H226" s="15"/>
      <c r="I226" s="15"/>
      <c r="J226" s="15"/>
      <c r="K226" s="47"/>
      <c r="L226" s="47"/>
      <c r="M226" s="47"/>
      <c r="N226" s="47"/>
      <c r="O226" s="47"/>
      <c r="P226" s="47"/>
      <c r="Q226" s="47"/>
      <c r="R226" s="47"/>
      <c r="S226" s="47"/>
      <c r="T226" s="47"/>
      <c r="U226" s="47"/>
      <c r="V226" s="47"/>
      <c r="W226" s="47"/>
      <c r="X226" s="47"/>
      <c r="Y226" s="47"/>
      <c r="Z226" s="47"/>
      <c r="AA226" s="47"/>
      <c r="AB226" s="15"/>
      <c r="AC226" s="15"/>
      <c r="AD226" s="15"/>
      <c r="AE226" s="15"/>
      <c r="AF226" s="15"/>
      <c r="AG226" s="15"/>
      <c r="AH226" s="15"/>
      <c r="AI226" s="15"/>
      <c r="AJ226" s="15"/>
      <c r="AK226" s="15"/>
      <c r="AL226" s="15"/>
      <c r="AM226" s="15"/>
      <c r="AN226" s="15"/>
      <c r="AO226" s="15"/>
    </row>
    <row r="227" spans="1:41" x14ac:dyDescent="0.4">
      <c r="A227" s="15"/>
      <c r="B227" s="15"/>
      <c r="C227" s="15"/>
      <c r="D227" s="15"/>
      <c r="E227" s="15"/>
      <c r="F227" s="15"/>
      <c r="G227" s="15"/>
      <c r="H227" s="15"/>
      <c r="I227" s="15"/>
      <c r="J227" s="15"/>
      <c r="K227" s="47"/>
      <c r="L227" s="47"/>
      <c r="M227" s="47"/>
      <c r="N227" s="47"/>
      <c r="O227" s="47"/>
      <c r="P227" s="47"/>
      <c r="Q227" s="47"/>
      <c r="R227" s="47"/>
      <c r="S227" s="47"/>
      <c r="T227" s="47"/>
      <c r="U227" s="47"/>
      <c r="V227" s="47"/>
      <c r="W227" s="47"/>
      <c r="X227" s="47"/>
      <c r="Y227" s="47"/>
      <c r="Z227" s="47"/>
      <c r="AA227" s="47"/>
      <c r="AB227" s="15"/>
      <c r="AC227" s="15"/>
      <c r="AD227" s="15"/>
      <c r="AE227" s="15"/>
      <c r="AF227" s="15"/>
      <c r="AG227" s="15"/>
      <c r="AH227" s="15"/>
      <c r="AI227" s="15"/>
      <c r="AJ227" s="15"/>
      <c r="AK227" s="15"/>
      <c r="AL227" s="15"/>
      <c r="AM227" s="15"/>
      <c r="AN227" s="15"/>
      <c r="AO227" s="15"/>
    </row>
    <row r="228" spans="1:41" x14ac:dyDescent="0.4">
      <c r="A228" s="15"/>
      <c r="B228" s="15"/>
      <c r="C228" s="15"/>
      <c r="D228" s="15"/>
      <c r="E228" s="15"/>
      <c r="F228" s="15"/>
      <c r="G228" s="15"/>
      <c r="H228" s="15"/>
      <c r="I228" s="15"/>
      <c r="J228" s="15"/>
      <c r="K228" s="47"/>
      <c r="L228" s="47"/>
      <c r="M228" s="47"/>
      <c r="N228" s="47"/>
      <c r="O228" s="47"/>
      <c r="P228" s="47"/>
      <c r="Q228" s="47"/>
      <c r="R228" s="47"/>
      <c r="S228" s="47"/>
      <c r="T228" s="47"/>
      <c r="U228" s="47"/>
      <c r="V228" s="47"/>
      <c r="W228" s="47"/>
      <c r="X228" s="47"/>
      <c r="Y228" s="47"/>
      <c r="Z228" s="47"/>
      <c r="AA228" s="47"/>
      <c r="AB228" s="15"/>
      <c r="AC228" s="15"/>
      <c r="AD228" s="15"/>
      <c r="AE228" s="15"/>
      <c r="AF228" s="15"/>
      <c r="AG228" s="15"/>
      <c r="AH228" s="15"/>
      <c r="AI228" s="15"/>
      <c r="AJ228" s="15"/>
      <c r="AK228" s="15"/>
      <c r="AL228" s="15"/>
      <c r="AM228" s="15"/>
      <c r="AN228" s="15"/>
      <c r="AO228" s="15"/>
    </row>
    <row r="229" spans="1:41" x14ac:dyDescent="0.4">
      <c r="A229" s="15"/>
      <c r="B229" s="15"/>
      <c r="C229" s="15"/>
      <c r="D229" s="15"/>
      <c r="E229" s="15"/>
      <c r="F229" s="15"/>
      <c r="G229" s="15"/>
      <c r="H229" s="15"/>
      <c r="I229" s="15"/>
      <c r="J229" s="15"/>
      <c r="K229" s="47"/>
      <c r="L229" s="47"/>
      <c r="M229" s="47"/>
      <c r="N229" s="47"/>
      <c r="O229" s="47"/>
      <c r="P229" s="47"/>
      <c r="Q229" s="47"/>
      <c r="R229" s="47"/>
      <c r="S229" s="47"/>
      <c r="T229" s="47"/>
      <c r="U229" s="47"/>
      <c r="V229" s="47"/>
      <c r="W229" s="47"/>
      <c r="X229" s="47"/>
      <c r="Y229" s="47"/>
      <c r="Z229" s="47"/>
      <c r="AA229" s="47"/>
      <c r="AB229" s="15"/>
      <c r="AC229" s="15"/>
      <c r="AD229" s="15"/>
      <c r="AE229" s="15"/>
      <c r="AF229" s="15"/>
      <c r="AG229" s="15"/>
      <c r="AH229" s="15"/>
      <c r="AI229" s="15"/>
      <c r="AJ229" s="15"/>
      <c r="AK229" s="15"/>
      <c r="AL229" s="15"/>
      <c r="AM229" s="15"/>
      <c r="AN229" s="15"/>
      <c r="AO229" s="15"/>
    </row>
    <row r="230" spans="1:41" x14ac:dyDescent="0.4">
      <c r="A230" s="15"/>
      <c r="B230" s="15"/>
      <c r="C230" s="15"/>
      <c r="D230" s="15"/>
      <c r="E230" s="15"/>
      <c r="F230" s="15"/>
      <c r="G230" s="15"/>
      <c r="H230" s="15"/>
      <c r="I230" s="15"/>
      <c r="J230" s="15"/>
      <c r="K230" s="47"/>
      <c r="L230" s="47"/>
      <c r="M230" s="47"/>
      <c r="N230" s="47"/>
      <c r="O230" s="47"/>
      <c r="P230" s="47"/>
      <c r="Q230" s="47"/>
      <c r="R230" s="47"/>
      <c r="S230" s="47"/>
      <c r="T230" s="47"/>
      <c r="U230" s="47"/>
      <c r="V230" s="47"/>
      <c r="W230" s="47"/>
      <c r="X230" s="47"/>
      <c r="Y230" s="47"/>
      <c r="Z230" s="47"/>
      <c r="AA230" s="47"/>
      <c r="AB230" s="15"/>
      <c r="AC230" s="15"/>
      <c r="AD230" s="15"/>
      <c r="AE230" s="15"/>
      <c r="AF230" s="15"/>
      <c r="AG230" s="15"/>
      <c r="AH230" s="15"/>
      <c r="AI230" s="15"/>
      <c r="AJ230" s="15"/>
      <c r="AK230" s="15"/>
      <c r="AL230" s="15"/>
      <c r="AM230" s="15"/>
      <c r="AN230" s="15"/>
      <c r="AO230" s="15"/>
    </row>
    <row r="231" spans="1:41" x14ac:dyDescent="0.4">
      <c r="A231" s="15"/>
      <c r="B231" s="15"/>
      <c r="C231" s="15"/>
      <c r="D231" s="15"/>
      <c r="E231" s="15"/>
      <c r="F231" s="15"/>
      <c r="G231" s="15"/>
      <c r="H231" s="15"/>
      <c r="I231" s="15"/>
      <c r="J231" s="15"/>
      <c r="K231" s="47"/>
      <c r="L231" s="47"/>
      <c r="M231" s="47"/>
      <c r="N231" s="47"/>
      <c r="O231" s="47"/>
      <c r="P231" s="47"/>
      <c r="Q231" s="47"/>
      <c r="R231" s="47"/>
      <c r="S231" s="47"/>
      <c r="T231" s="47"/>
      <c r="U231" s="47"/>
      <c r="V231" s="47"/>
      <c r="W231" s="47"/>
      <c r="X231" s="47"/>
      <c r="Y231" s="47"/>
      <c r="Z231" s="47"/>
      <c r="AA231" s="47"/>
      <c r="AB231" s="15"/>
      <c r="AC231" s="15"/>
      <c r="AD231" s="15"/>
      <c r="AE231" s="15"/>
      <c r="AF231" s="15"/>
      <c r="AG231" s="15"/>
      <c r="AH231" s="15"/>
      <c r="AI231" s="15"/>
      <c r="AJ231" s="15"/>
      <c r="AK231" s="15"/>
      <c r="AL231" s="15"/>
      <c r="AM231" s="15"/>
      <c r="AN231" s="15"/>
      <c r="AO231" s="15"/>
    </row>
    <row r="232" spans="1:41" x14ac:dyDescent="0.4">
      <c r="A232" s="15"/>
      <c r="B232" s="15"/>
      <c r="C232" s="15"/>
      <c r="D232" s="15"/>
      <c r="E232" s="15"/>
      <c r="F232" s="15"/>
      <c r="G232" s="15"/>
      <c r="H232" s="15"/>
      <c r="I232" s="15"/>
      <c r="J232" s="15"/>
      <c r="K232" s="47"/>
      <c r="L232" s="47"/>
      <c r="M232" s="47"/>
      <c r="N232" s="47"/>
      <c r="O232" s="47"/>
      <c r="P232" s="47"/>
      <c r="Q232" s="47"/>
      <c r="R232" s="47"/>
      <c r="S232" s="47"/>
      <c r="T232" s="47"/>
      <c r="U232" s="47"/>
      <c r="V232" s="47"/>
      <c r="W232" s="47"/>
      <c r="X232" s="47"/>
      <c r="Y232" s="47"/>
      <c r="Z232" s="47"/>
      <c r="AA232" s="47"/>
      <c r="AB232" s="15"/>
      <c r="AC232" s="15"/>
      <c r="AD232" s="15"/>
      <c r="AE232" s="15"/>
      <c r="AF232" s="15"/>
      <c r="AG232" s="15"/>
      <c r="AH232" s="15"/>
      <c r="AI232" s="15"/>
      <c r="AJ232" s="15"/>
      <c r="AK232" s="15"/>
      <c r="AL232" s="15"/>
      <c r="AM232" s="15"/>
      <c r="AN232" s="15"/>
      <c r="AO232" s="15"/>
    </row>
    <row r="233" spans="1:41" x14ac:dyDescent="0.4">
      <c r="A233" s="15"/>
      <c r="B233" s="15"/>
      <c r="C233" s="15"/>
      <c r="D233" s="15"/>
      <c r="E233" s="15"/>
      <c r="F233" s="15"/>
      <c r="G233" s="15"/>
      <c r="H233" s="15"/>
      <c r="I233" s="15"/>
      <c r="J233" s="15"/>
      <c r="K233" s="47"/>
      <c r="L233" s="47"/>
      <c r="M233" s="47"/>
      <c r="N233" s="47"/>
      <c r="O233" s="47"/>
      <c r="P233" s="47"/>
      <c r="Q233" s="47"/>
      <c r="R233" s="47"/>
      <c r="S233" s="47"/>
      <c r="T233" s="47"/>
      <c r="U233" s="47"/>
      <c r="V233" s="47"/>
      <c r="W233" s="47"/>
      <c r="X233" s="47"/>
      <c r="Y233" s="47"/>
      <c r="Z233" s="47"/>
      <c r="AA233" s="47"/>
      <c r="AB233" s="15"/>
      <c r="AC233" s="15"/>
      <c r="AD233" s="15"/>
      <c r="AE233" s="15"/>
      <c r="AF233" s="15"/>
      <c r="AG233" s="15"/>
      <c r="AH233" s="15"/>
      <c r="AI233" s="15"/>
      <c r="AJ233" s="15"/>
      <c r="AK233" s="15"/>
      <c r="AL233" s="15"/>
      <c r="AM233" s="15"/>
      <c r="AN233" s="15"/>
      <c r="AO233" s="15"/>
    </row>
    <row r="234" spans="1:41" x14ac:dyDescent="0.4">
      <c r="A234" s="15"/>
      <c r="B234" s="15"/>
      <c r="C234" s="15"/>
      <c r="D234" s="15"/>
      <c r="E234" s="15"/>
      <c r="F234" s="15"/>
      <c r="G234" s="15"/>
      <c r="H234" s="15"/>
      <c r="I234" s="15"/>
      <c r="J234" s="15"/>
      <c r="K234" s="47"/>
      <c r="L234" s="47"/>
      <c r="M234" s="47"/>
      <c r="N234" s="47"/>
      <c r="O234" s="47"/>
      <c r="P234" s="47"/>
      <c r="Q234" s="47"/>
      <c r="R234" s="47"/>
      <c r="S234" s="47"/>
      <c r="T234" s="47"/>
      <c r="U234" s="47"/>
      <c r="V234" s="47"/>
      <c r="W234" s="47"/>
      <c r="X234" s="47"/>
      <c r="Y234" s="47"/>
      <c r="Z234" s="47"/>
      <c r="AA234" s="47"/>
      <c r="AB234" s="15"/>
      <c r="AC234" s="15"/>
      <c r="AD234" s="15"/>
      <c r="AE234" s="15"/>
      <c r="AF234" s="15"/>
      <c r="AG234" s="15"/>
      <c r="AH234" s="15"/>
      <c r="AI234" s="15"/>
      <c r="AJ234" s="15"/>
      <c r="AK234" s="15"/>
      <c r="AL234" s="15"/>
      <c r="AM234" s="15"/>
      <c r="AN234" s="15"/>
      <c r="AO234" s="15"/>
    </row>
    <row r="235" spans="1:41" x14ac:dyDescent="0.4">
      <c r="A235" s="15"/>
      <c r="B235" s="15"/>
      <c r="C235" s="15"/>
      <c r="D235" s="15"/>
      <c r="E235" s="15"/>
      <c r="F235" s="15"/>
      <c r="G235" s="15"/>
      <c r="H235" s="15"/>
      <c r="I235" s="15"/>
      <c r="J235" s="15"/>
      <c r="K235" s="47"/>
      <c r="L235" s="47"/>
      <c r="M235" s="47"/>
      <c r="N235" s="47"/>
      <c r="O235" s="47"/>
      <c r="P235" s="47"/>
      <c r="Q235" s="47"/>
      <c r="R235" s="47"/>
      <c r="S235" s="47"/>
      <c r="T235" s="47"/>
      <c r="U235" s="47"/>
      <c r="V235" s="47"/>
      <c r="W235" s="47"/>
      <c r="X235" s="47"/>
      <c r="Y235" s="47"/>
      <c r="Z235" s="47"/>
      <c r="AA235" s="47"/>
      <c r="AB235" s="15"/>
      <c r="AC235" s="15"/>
      <c r="AD235" s="15"/>
      <c r="AE235" s="15"/>
      <c r="AF235" s="15"/>
      <c r="AG235" s="15"/>
      <c r="AH235" s="15"/>
      <c r="AI235" s="15"/>
      <c r="AJ235" s="15"/>
      <c r="AK235" s="15"/>
      <c r="AL235" s="15"/>
      <c r="AM235" s="15"/>
      <c r="AN235" s="15"/>
      <c r="AO235" s="15"/>
    </row>
    <row r="236" spans="1:41" x14ac:dyDescent="0.4">
      <c r="A236" s="15"/>
      <c r="B236" s="15"/>
      <c r="C236" s="15"/>
      <c r="D236" s="15"/>
      <c r="E236" s="15"/>
      <c r="F236" s="15"/>
      <c r="G236" s="15"/>
      <c r="H236" s="15"/>
      <c r="I236" s="15"/>
      <c r="J236" s="15"/>
      <c r="K236" s="47"/>
      <c r="L236" s="47"/>
      <c r="M236" s="47"/>
      <c r="N236" s="47"/>
      <c r="O236" s="47"/>
      <c r="P236" s="47"/>
      <c r="Q236" s="47"/>
      <c r="R236" s="47"/>
      <c r="S236" s="47"/>
      <c r="T236" s="47"/>
      <c r="U236" s="47"/>
      <c r="V236" s="47"/>
      <c r="W236" s="47"/>
      <c r="X236" s="47"/>
      <c r="Y236" s="47"/>
      <c r="Z236" s="47"/>
      <c r="AA236" s="47"/>
      <c r="AB236" s="15"/>
      <c r="AC236" s="15"/>
      <c r="AD236" s="15"/>
      <c r="AE236" s="15"/>
      <c r="AF236" s="15"/>
      <c r="AG236" s="15"/>
      <c r="AH236" s="15"/>
      <c r="AI236" s="15"/>
      <c r="AJ236" s="15"/>
      <c r="AK236" s="15"/>
      <c r="AL236" s="15"/>
      <c r="AM236" s="15"/>
      <c r="AN236" s="15"/>
      <c r="AO236" s="15"/>
    </row>
    <row r="237" spans="1:41" x14ac:dyDescent="0.4">
      <c r="A237" s="15"/>
      <c r="B237" s="15"/>
      <c r="C237" s="15"/>
      <c r="D237" s="15"/>
      <c r="E237" s="15"/>
      <c r="F237" s="15"/>
      <c r="G237" s="15"/>
      <c r="H237" s="15"/>
      <c r="I237" s="15"/>
      <c r="J237" s="15"/>
      <c r="K237" s="47"/>
      <c r="L237" s="47"/>
      <c r="M237" s="47"/>
      <c r="N237" s="47"/>
      <c r="O237" s="47"/>
      <c r="P237" s="47"/>
      <c r="Q237" s="47"/>
      <c r="R237" s="47"/>
      <c r="S237" s="47"/>
      <c r="T237" s="47"/>
      <c r="U237" s="47"/>
      <c r="V237" s="47"/>
      <c r="W237" s="47"/>
      <c r="X237" s="47"/>
      <c r="Y237" s="47"/>
      <c r="Z237" s="47"/>
      <c r="AA237" s="47"/>
      <c r="AB237" s="15"/>
      <c r="AC237" s="15"/>
      <c r="AD237" s="15"/>
      <c r="AE237" s="15"/>
      <c r="AF237" s="15"/>
      <c r="AG237" s="15"/>
      <c r="AH237" s="15"/>
      <c r="AI237" s="15"/>
      <c r="AJ237" s="15"/>
      <c r="AK237" s="15"/>
      <c r="AL237" s="15"/>
      <c r="AM237" s="15"/>
      <c r="AN237" s="15"/>
      <c r="AO237" s="15"/>
    </row>
    <row r="238" spans="1:41" x14ac:dyDescent="0.4">
      <c r="A238" s="15"/>
      <c r="B238" s="15"/>
      <c r="C238" s="15"/>
      <c r="D238" s="15"/>
      <c r="E238" s="15"/>
      <c r="F238" s="15"/>
      <c r="G238" s="15"/>
      <c r="H238" s="15"/>
      <c r="I238" s="15"/>
      <c r="J238" s="15"/>
      <c r="K238" s="47"/>
      <c r="L238" s="47"/>
      <c r="M238" s="47"/>
      <c r="N238" s="47"/>
      <c r="O238" s="47"/>
      <c r="P238" s="47"/>
      <c r="Q238" s="47"/>
      <c r="R238" s="47"/>
      <c r="S238" s="47"/>
      <c r="T238" s="47"/>
      <c r="U238" s="47"/>
      <c r="V238" s="47"/>
      <c r="W238" s="47"/>
      <c r="X238" s="47"/>
      <c r="Y238" s="47"/>
      <c r="Z238" s="47"/>
      <c r="AA238" s="47"/>
      <c r="AB238" s="15"/>
      <c r="AC238" s="15"/>
      <c r="AD238" s="15"/>
      <c r="AE238" s="15"/>
      <c r="AF238" s="15"/>
      <c r="AG238" s="15"/>
      <c r="AH238" s="15"/>
      <c r="AI238" s="15"/>
      <c r="AJ238" s="15"/>
      <c r="AK238" s="15"/>
      <c r="AL238" s="15"/>
      <c r="AM238" s="15"/>
      <c r="AN238" s="15"/>
      <c r="AO238" s="15"/>
    </row>
    <row r="239" spans="1:41" x14ac:dyDescent="0.4">
      <c r="A239" s="15"/>
      <c r="B239" s="15"/>
      <c r="C239" s="15"/>
      <c r="D239" s="15"/>
      <c r="E239" s="15"/>
      <c r="F239" s="15"/>
      <c r="G239" s="15"/>
      <c r="H239" s="15"/>
      <c r="I239" s="15"/>
      <c r="J239" s="15"/>
      <c r="K239" s="47"/>
      <c r="L239" s="47"/>
      <c r="M239" s="47"/>
      <c r="N239" s="47"/>
      <c r="O239" s="47"/>
      <c r="P239" s="47"/>
      <c r="Q239" s="47"/>
      <c r="R239" s="47"/>
      <c r="S239" s="47"/>
      <c r="T239" s="47"/>
      <c r="U239" s="47"/>
      <c r="V239" s="47"/>
      <c r="W239" s="47"/>
      <c r="X239" s="47"/>
      <c r="Y239" s="47"/>
      <c r="Z239" s="47"/>
      <c r="AA239" s="47"/>
      <c r="AB239" s="15"/>
      <c r="AC239" s="15"/>
      <c r="AD239" s="15"/>
      <c r="AE239" s="15"/>
      <c r="AF239" s="15"/>
      <c r="AG239" s="15"/>
      <c r="AH239" s="15"/>
      <c r="AI239" s="15"/>
      <c r="AJ239" s="15"/>
      <c r="AK239" s="15"/>
      <c r="AL239" s="15"/>
      <c r="AM239" s="15"/>
      <c r="AN239" s="15"/>
      <c r="AO239" s="15"/>
    </row>
    <row r="240" spans="1:41" x14ac:dyDescent="0.4">
      <c r="A240" s="15"/>
      <c r="B240" s="15"/>
      <c r="C240" s="15"/>
      <c r="D240" s="15"/>
      <c r="E240" s="15"/>
      <c r="F240" s="15"/>
      <c r="G240" s="15"/>
      <c r="H240" s="15"/>
      <c r="I240" s="15"/>
      <c r="J240" s="15"/>
      <c r="K240" s="47"/>
      <c r="L240" s="47"/>
      <c r="M240" s="47"/>
      <c r="N240" s="47"/>
      <c r="O240" s="47"/>
      <c r="P240" s="47"/>
      <c r="Q240" s="47"/>
      <c r="R240" s="47"/>
      <c r="S240" s="47"/>
      <c r="T240" s="47"/>
      <c r="U240" s="47"/>
      <c r="V240" s="47"/>
      <c r="W240" s="47"/>
      <c r="X240" s="47"/>
      <c r="Y240" s="47"/>
      <c r="Z240" s="47"/>
      <c r="AA240" s="47"/>
      <c r="AB240" s="15"/>
      <c r="AC240" s="15"/>
      <c r="AD240" s="15"/>
      <c r="AE240" s="15"/>
      <c r="AF240" s="15"/>
      <c r="AG240" s="15"/>
      <c r="AH240" s="15"/>
      <c r="AI240" s="15"/>
      <c r="AJ240" s="15"/>
      <c r="AK240" s="15"/>
      <c r="AL240" s="15"/>
      <c r="AM240" s="15"/>
      <c r="AN240" s="15"/>
      <c r="AO240" s="15"/>
    </row>
    <row r="241" spans="1:41" x14ac:dyDescent="0.4">
      <c r="A241" s="15"/>
      <c r="B241" s="15"/>
      <c r="C241" s="15"/>
      <c r="D241" s="15"/>
      <c r="E241" s="15"/>
      <c r="F241" s="15"/>
      <c r="G241" s="15"/>
      <c r="H241" s="15"/>
      <c r="I241" s="15"/>
      <c r="J241" s="15"/>
      <c r="K241" s="47"/>
      <c r="L241" s="47"/>
      <c r="M241" s="47"/>
      <c r="N241" s="47"/>
      <c r="O241" s="47"/>
      <c r="P241" s="47"/>
      <c r="Q241" s="47"/>
      <c r="R241" s="47"/>
      <c r="S241" s="47"/>
      <c r="T241" s="47"/>
      <c r="U241" s="47"/>
      <c r="V241" s="47"/>
      <c r="W241" s="47"/>
      <c r="X241" s="47"/>
      <c r="Y241" s="47"/>
      <c r="Z241" s="47"/>
      <c r="AA241" s="47"/>
      <c r="AB241" s="15"/>
      <c r="AC241" s="15"/>
      <c r="AD241" s="15"/>
      <c r="AE241" s="15"/>
      <c r="AF241" s="15"/>
      <c r="AG241" s="15"/>
      <c r="AH241" s="15"/>
      <c r="AI241" s="15"/>
      <c r="AJ241" s="15"/>
      <c r="AK241" s="15"/>
      <c r="AL241" s="15"/>
      <c r="AM241" s="15"/>
      <c r="AN241" s="15"/>
      <c r="AO241" s="15"/>
    </row>
    <row r="242" spans="1:41" x14ac:dyDescent="0.4">
      <c r="A242" s="15"/>
      <c r="B242" s="15"/>
      <c r="C242" s="15"/>
      <c r="D242" s="15"/>
      <c r="E242" s="15"/>
      <c r="F242" s="15"/>
      <c r="G242" s="15"/>
      <c r="H242" s="15"/>
      <c r="I242" s="15"/>
      <c r="J242" s="15"/>
      <c r="K242" s="47"/>
      <c r="L242" s="47"/>
      <c r="M242" s="47"/>
      <c r="N242" s="47"/>
      <c r="O242" s="47"/>
      <c r="P242" s="47"/>
      <c r="Q242" s="47"/>
      <c r="R242" s="47"/>
      <c r="S242" s="47"/>
      <c r="T242" s="47"/>
      <c r="U242" s="47"/>
      <c r="V242" s="47"/>
      <c r="W242" s="47"/>
      <c r="X242" s="47"/>
      <c r="Y242" s="47"/>
      <c r="Z242" s="47"/>
      <c r="AA242" s="47"/>
      <c r="AB242" s="15"/>
      <c r="AC242" s="15"/>
      <c r="AD242" s="15"/>
      <c r="AE242" s="15"/>
      <c r="AF242" s="15"/>
      <c r="AG242" s="15"/>
      <c r="AH242" s="15"/>
      <c r="AI242" s="15"/>
      <c r="AJ242" s="15"/>
      <c r="AK242" s="15"/>
      <c r="AL242" s="15"/>
      <c r="AM242" s="15"/>
      <c r="AN242" s="15"/>
      <c r="AO242" s="15"/>
    </row>
    <row r="243" spans="1:41" x14ac:dyDescent="0.4">
      <c r="A243" s="15"/>
      <c r="B243" s="15"/>
      <c r="C243" s="15"/>
      <c r="D243" s="15"/>
      <c r="E243" s="15"/>
      <c r="F243" s="15"/>
      <c r="G243" s="15"/>
      <c r="H243" s="15"/>
      <c r="I243" s="15"/>
      <c r="J243" s="15"/>
      <c r="K243" s="47"/>
      <c r="L243" s="47"/>
      <c r="M243" s="47"/>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row>
    <row r="244" spans="1:41" x14ac:dyDescent="0.4">
      <c r="A244" s="15"/>
      <c r="B244" s="15"/>
      <c r="C244" s="15"/>
      <c r="D244" s="15"/>
      <c r="E244" s="15"/>
      <c r="F244" s="15"/>
      <c r="G244" s="15"/>
      <c r="H244" s="15"/>
      <c r="I244" s="15"/>
      <c r="J244" s="15"/>
      <c r="K244" s="47"/>
      <c r="L244" s="47"/>
      <c r="M244" s="47"/>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row>
    <row r="245" spans="1:41" x14ac:dyDescent="0.4">
      <c r="A245" s="15"/>
      <c r="B245" s="15"/>
      <c r="C245" s="15"/>
      <c r="D245" s="15"/>
      <c r="E245" s="15"/>
      <c r="F245" s="15"/>
      <c r="G245" s="15"/>
      <c r="H245" s="15"/>
      <c r="I245" s="15"/>
      <c r="J245" s="15"/>
      <c r="K245" s="47"/>
      <c r="L245" s="47"/>
      <c r="M245" s="47"/>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row>
    <row r="246" spans="1:41" x14ac:dyDescent="0.4">
      <c r="A246" s="15"/>
      <c r="B246" s="15"/>
      <c r="C246" s="15"/>
      <c r="D246" s="15"/>
      <c r="E246" s="15"/>
      <c r="F246" s="15"/>
      <c r="G246" s="15"/>
      <c r="H246" s="15"/>
      <c r="I246" s="15"/>
      <c r="J246" s="15"/>
      <c r="K246" s="47"/>
      <c r="L246" s="47"/>
      <c r="M246" s="47"/>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row>
    <row r="247" spans="1:41" x14ac:dyDescent="0.4">
      <c r="A247" s="15"/>
      <c r="B247" s="15"/>
      <c r="C247" s="15"/>
      <c r="D247" s="15"/>
      <c r="E247" s="15"/>
      <c r="F247" s="15"/>
      <c r="G247" s="15"/>
      <c r="H247" s="15"/>
      <c r="I247" s="15"/>
      <c r="J247" s="15"/>
      <c r="K247" s="47"/>
      <c r="L247" s="47"/>
      <c r="M247" s="47"/>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row>
    <row r="248" spans="1:41" x14ac:dyDescent="0.4">
      <c r="A248" s="15"/>
      <c r="B248" s="15"/>
      <c r="C248" s="15"/>
      <c r="D248" s="15"/>
      <c r="E248" s="15"/>
      <c r="F248" s="15"/>
      <c r="G248" s="15"/>
      <c r="H248" s="15"/>
      <c r="I248" s="15"/>
      <c r="J248" s="15"/>
      <c r="K248" s="47"/>
      <c r="L248" s="47"/>
      <c r="M248" s="47"/>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row>
    <row r="249" spans="1:41" x14ac:dyDescent="0.4">
      <c r="A249" s="15"/>
      <c r="B249" s="15"/>
      <c r="C249" s="15"/>
      <c r="D249" s="15"/>
      <c r="E249" s="15"/>
      <c r="F249" s="15"/>
      <c r="G249" s="15"/>
      <c r="H249" s="15"/>
      <c r="I249" s="15"/>
      <c r="J249" s="15"/>
      <c r="K249" s="47"/>
      <c r="L249" s="47"/>
      <c r="M249" s="47"/>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row>
    <row r="250" spans="1:41" x14ac:dyDescent="0.4">
      <c r="A250" s="15"/>
      <c r="B250" s="15"/>
      <c r="C250" s="15"/>
      <c r="D250" s="15"/>
      <c r="E250" s="15"/>
      <c r="F250" s="15"/>
      <c r="G250" s="15"/>
      <c r="H250" s="15"/>
      <c r="I250" s="15"/>
      <c r="J250" s="15"/>
      <c r="K250" s="47"/>
      <c r="L250" s="47"/>
      <c r="M250" s="47"/>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row>
    <row r="251" spans="1:41" x14ac:dyDescent="0.4">
      <c r="A251" s="15"/>
      <c r="B251" s="15"/>
      <c r="C251" s="15"/>
      <c r="D251" s="15"/>
      <c r="E251" s="15"/>
      <c r="F251" s="15"/>
      <c r="G251" s="15"/>
      <c r="H251" s="15"/>
      <c r="I251" s="15"/>
      <c r="J251" s="15"/>
      <c r="K251" s="47"/>
      <c r="L251" s="47"/>
      <c r="M251" s="47"/>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row>
    <row r="252" spans="1:41" x14ac:dyDescent="0.4">
      <c r="A252" s="15"/>
      <c r="B252" s="15"/>
      <c r="C252" s="15"/>
      <c r="D252" s="15"/>
      <c r="E252" s="15"/>
      <c r="F252" s="15"/>
      <c r="G252" s="15"/>
      <c r="H252" s="15"/>
      <c r="I252" s="15"/>
      <c r="J252" s="15"/>
      <c r="K252" s="47"/>
      <c r="L252" s="47"/>
      <c r="M252" s="47"/>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row>
    <row r="253" spans="1:41" x14ac:dyDescent="0.4">
      <c r="A253" s="15"/>
      <c r="B253" s="15"/>
      <c r="C253" s="15"/>
      <c r="D253" s="15"/>
      <c r="E253" s="15"/>
      <c r="F253" s="15"/>
      <c r="G253" s="15"/>
      <c r="H253" s="15"/>
      <c r="I253" s="15"/>
      <c r="J253" s="15"/>
      <c r="K253" s="47"/>
      <c r="L253" s="47"/>
      <c r="M253" s="47"/>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row>
    <row r="254" spans="1:41" x14ac:dyDescent="0.4">
      <c r="A254" s="15"/>
      <c r="B254" s="15"/>
      <c r="C254" s="15"/>
      <c r="D254" s="15"/>
      <c r="E254" s="15"/>
      <c r="F254" s="15"/>
      <c r="G254" s="15"/>
      <c r="H254" s="15"/>
      <c r="I254" s="15"/>
      <c r="J254" s="15"/>
      <c r="K254" s="47"/>
      <c r="L254" s="47"/>
      <c r="M254" s="47"/>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row>
    <row r="255" spans="1:41" x14ac:dyDescent="0.4">
      <c r="A255" s="15"/>
      <c r="B255" s="15"/>
      <c r="C255" s="15"/>
      <c r="D255" s="15"/>
      <c r="E255" s="15"/>
      <c r="F255" s="15"/>
      <c r="G255" s="15"/>
      <c r="H255" s="15"/>
      <c r="I255" s="15"/>
      <c r="J255" s="15"/>
      <c r="K255" s="47"/>
      <c r="L255" s="47"/>
      <c r="M255" s="47"/>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row>
    <row r="256" spans="1:41" x14ac:dyDescent="0.4">
      <c r="A256" s="15"/>
      <c r="B256" s="15"/>
      <c r="C256" s="15"/>
      <c r="D256" s="15"/>
      <c r="E256" s="15"/>
      <c r="F256" s="15"/>
      <c r="G256" s="15"/>
      <c r="H256" s="15"/>
      <c r="I256" s="15"/>
      <c r="J256" s="15"/>
      <c r="K256" s="47"/>
      <c r="L256" s="47"/>
      <c r="M256" s="47"/>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row>
    <row r="257" spans="1:41" x14ac:dyDescent="0.4">
      <c r="A257" s="15"/>
      <c r="B257" s="15"/>
      <c r="C257" s="15"/>
      <c r="D257" s="15"/>
      <c r="E257" s="15"/>
      <c r="F257" s="15"/>
      <c r="G257" s="15"/>
      <c r="H257" s="15"/>
      <c r="I257" s="15"/>
      <c r="J257" s="15"/>
      <c r="K257" s="47"/>
      <c r="L257" s="47"/>
      <c r="M257" s="47"/>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row>
    <row r="258" spans="1:41" x14ac:dyDescent="0.4">
      <c r="A258" s="15"/>
      <c r="B258" s="15"/>
      <c r="C258" s="15"/>
      <c r="D258" s="15"/>
      <c r="E258" s="15"/>
      <c r="F258" s="15"/>
      <c r="G258" s="15"/>
      <c r="H258" s="15"/>
      <c r="I258" s="15"/>
      <c r="J258" s="15"/>
      <c r="K258" s="47"/>
      <c r="L258" s="47"/>
      <c r="M258" s="47"/>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row>
    <row r="259" spans="1:41" x14ac:dyDescent="0.4">
      <c r="A259" s="15"/>
      <c r="B259" s="15"/>
      <c r="C259" s="15"/>
      <c r="D259" s="15"/>
      <c r="E259" s="15"/>
      <c r="F259" s="15"/>
      <c r="G259" s="15"/>
      <c r="H259" s="15"/>
      <c r="I259" s="15"/>
      <c r="J259" s="15"/>
      <c r="K259" s="47"/>
      <c r="L259" s="47"/>
      <c r="M259" s="47"/>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row>
    <row r="260" spans="1:41" x14ac:dyDescent="0.4">
      <c r="A260" s="15"/>
      <c r="B260" s="15"/>
      <c r="C260" s="15"/>
      <c r="D260" s="15"/>
      <c r="E260" s="15"/>
      <c r="F260" s="15"/>
      <c r="G260" s="15"/>
      <c r="H260" s="15"/>
      <c r="I260" s="15"/>
      <c r="J260" s="15"/>
      <c r="K260" s="47"/>
      <c r="L260" s="47"/>
      <c r="M260" s="47"/>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row>
    <row r="261" spans="1:41" x14ac:dyDescent="0.4">
      <c r="A261" s="15"/>
      <c r="B261" s="15"/>
      <c r="C261" s="15"/>
      <c r="D261" s="15"/>
      <c r="E261" s="15"/>
      <c r="F261" s="15"/>
      <c r="G261" s="15"/>
      <c r="H261" s="15"/>
      <c r="I261" s="15"/>
      <c r="J261" s="15"/>
      <c r="K261" s="47"/>
      <c r="L261" s="47"/>
      <c r="M261" s="47"/>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row>
    <row r="262" spans="1:41" x14ac:dyDescent="0.4">
      <c r="A262" s="15"/>
      <c r="B262" s="15"/>
      <c r="C262" s="15"/>
      <c r="D262" s="15"/>
      <c r="E262" s="15"/>
      <c r="F262" s="15"/>
      <c r="G262" s="15"/>
      <c r="H262" s="15"/>
      <c r="I262" s="15"/>
      <c r="J262" s="15"/>
      <c r="K262" s="47"/>
      <c r="L262" s="47"/>
      <c r="M262" s="47"/>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row>
    <row r="263" spans="1:41" x14ac:dyDescent="0.4">
      <c r="A263" s="15"/>
      <c r="B263" s="15"/>
      <c r="C263" s="15"/>
      <c r="D263" s="15"/>
      <c r="E263" s="15"/>
      <c r="F263" s="15"/>
      <c r="G263" s="15"/>
      <c r="H263" s="15"/>
      <c r="I263" s="15"/>
      <c r="J263" s="15"/>
      <c r="K263" s="47"/>
      <c r="L263" s="47"/>
      <c r="M263" s="47"/>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row>
    <row r="264" spans="1:41" x14ac:dyDescent="0.4">
      <c r="A264" s="15"/>
      <c r="B264" s="15"/>
      <c r="C264" s="15"/>
      <c r="D264" s="15"/>
      <c r="E264" s="15"/>
      <c r="F264" s="15"/>
      <c r="G264" s="15"/>
      <c r="H264" s="15"/>
      <c r="I264" s="15"/>
      <c r="J264" s="15"/>
      <c r="K264" s="47"/>
      <c r="L264" s="47"/>
      <c r="M264" s="47"/>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row>
    <row r="265" spans="1:41" x14ac:dyDescent="0.4">
      <c r="A265" s="15"/>
      <c r="B265" s="15"/>
      <c r="C265" s="15"/>
      <c r="D265" s="15"/>
      <c r="E265" s="15"/>
      <c r="F265" s="15"/>
      <c r="G265" s="15"/>
      <c r="H265" s="15"/>
      <c r="I265" s="15"/>
      <c r="J265" s="15"/>
      <c r="K265" s="47"/>
      <c r="L265" s="47"/>
      <c r="M265" s="47"/>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row>
    <row r="266" spans="1:41" x14ac:dyDescent="0.4">
      <c r="A266" s="15"/>
      <c r="B266" s="15"/>
      <c r="C266" s="15"/>
      <c r="D266" s="15"/>
      <c r="E266" s="15"/>
      <c r="F266" s="15"/>
      <c r="G266" s="15"/>
      <c r="H266" s="15"/>
      <c r="I266" s="15"/>
      <c r="J266" s="15"/>
      <c r="K266" s="47"/>
      <c r="L266" s="47"/>
      <c r="M266" s="47"/>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row>
    <row r="267" spans="1:41" x14ac:dyDescent="0.4">
      <c r="A267" s="15"/>
      <c r="B267" s="15"/>
      <c r="C267" s="15"/>
      <c r="D267" s="15"/>
      <c r="E267" s="15"/>
      <c r="F267" s="15"/>
      <c r="G267" s="15"/>
      <c r="H267" s="15"/>
      <c r="I267" s="15"/>
      <c r="J267" s="15"/>
      <c r="K267" s="47"/>
      <c r="L267" s="47"/>
      <c r="M267" s="47"/>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row>
    <row r="268" spans="1:41" x14ac:dyDescent="0.4">
      <c r="A268" s="15"/>
      <c r="B268" s="15"/>
      <c r="C268" s="15"/>
      <c r="D268" s="15"/>
      <c r="E268" s="15"/>
      <c r="F268" s="15"/>
      <c r="G268" s="15"/>
      <c r="H268" s="15"/>
      <c r="I268" s="15"/>
      <c r="J268" s="15"/>
      <c r="K268" s="47"/>
      <c r="L268" s="47"/>
      <c r="M268" s="47"/>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row>
    <row r="269" spans="1:41" x14ac:dyDescent="0.4">
      <c r="A269" s="15"/>
      <c r="B269" s="15"/>
      <c r="C269" s="15"/>
      <c r="D269" s="15"/>
      <c r="E269" s="15"/>
      <c r="F269" s="15"/>
      <c r="G269" s="15"/>
      <c r="H269" s="15"/>
      <c r="I269" s="15"/>
      <c r="J269" s="15"/>
      <c r="K269" s="47"/>
      <c r="L269" s="47"/>
      <c r="M269" s="47"/>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row>
    <row r="270" spans="1:41" x14ac:dyDescent="0.4">
      <c r="A270" s="15"/>
      <c r="B270" s="15"/>
      <c r="C270" s="15"/>
      <c r="D270" s="15"/>
      <c r="E270" s="15"/>
      <c r="F270" s="15"/>
      <c r="G270" s="15"/>
      <c r="H270" s="15"/>
      <c r="I270" s="15"/>
      <c r="J270" s="15"/>
      <c r="K270" s="47"/>
      <c r="L270" s="47"/>
      <c r="M270" s="47"/>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row>
    <row r="271" spans="1:41" x14ac:dyDescent="0.4">
      <c r="A271" s="15"/>
      <c r="B271" s="15"/>
      <c r="C271" s="15"/>
      <c r="D271" s="15"/>
      <c r="E271" s="15"/>
      <c r="F271" s="15"/>
      <c r="G271" s="15"/>
      <c r="H271" s="15"/>
      <c r="I271" s="15"/>
      <c r="J271" s="15"/>
      <c r="K271" s="47"/>
      <c r="L271" s="47"/>
      <c r="M271" s="47"/>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row>
    <row r="272" spans="1:41" x14ac:dyDescent="0.4">
      <c r="A272" s="15"/>
      <c r="B272" s="15"/>
      <c r="C272" s="15"/>
      <c r="D272" s="15"/>
      <c r="E272" s="15"/>
      <c r="F272" s="15"/>
      <c r="G272" s="15"/>
      <c r="H272" s="15"/>
      <c r="I272" s="15"/>
      <c r="J272" s="15"/>
      <c r="K272" s="47"/>
      <c r="L272" s="47"/>
      <c r="M272" s="47"/>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row>
    <row r="273" spans="1:41" x14ac:dyDescent="0.4">
      <c r="A273" s="15"/>
      <c r="B273" s="15"/>
      <c r="C273" s="15"/>
      <c r="D273" s="15"/>
      <c r="E273" s="15"/>
      <c r="F273" s="15"/>
      <c r="G273" s="15"/>
      <c r="H273" s="15"/>
      <c r="I273" s="15"/>
      <c r="J273" s="15"/>
      <c r="K273" s="47"/>
      <c r="L273" s="47"/>
      <c r="M273" s="47"/>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row>
    <row r="274" spans="1:41" x14ac:dyDescent="0.4">
      <c r="A274" s="15"/>
      <c r="B274" s="15"/>
      <c r="C274" s="15"/>
      <c r="D274" s="15"/>
      <c r="E274" s="15"/>
      <c r="F274" s="15"/>
      <c r="G274" s="15"/>
      <c r="H274" s="15"/>
      <c r="I274" s="15"/>
      <c r="J274" s="15"/>
      <c r="K274" s="47"/>
      <c r="L274" s="47"/>
      <c r="M274" s="47"/>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row>
    <row r="275" spans="1:41" x14ac:dyDescent="0.4">
      <c r="A275" s="15"/>
      <c r="B275" s="15"/>
      <c r="C275" s="15"/>
      <c r="D275" s="15"/>
      <c r="E275" s="15"/>
      <c r="F275" s="15"/>
      <c r="G275" s="15"/>
      <c r="H275" s="15"/>
      <c r="I275" s="15"/>
      <c r="J275" s="15"/>
      <c r="K275" s="47"/>
      <c r="L275" s="47"/>
      <c r="M275" s="47"/>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row>
    <row r="276" spans="1:41" x14ac:dyDescent="0.4">
      <c r="A276" s="15"/>
      <c r="B276" s="15"/>
      <c r="C276" s="15"/>
      <c r="D276" s="15"/>
      <c r="E276" s="15"/>
      <c r="F276" s="15"/>
      <c r="G276" s="15"/>
      <c r="H276" s="15"/>
      <c r="I276" s="15"/>
      <c r="J276" s="15"/>
      <c r="K276" s="47"/>
      <c r="L276" s="47"/>
      <c r="M276" s="47"/>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row>
    <row r="277" spans="1:41" x14ac:dyDescent="0.4">
      <c r="A277" s="15"/>
      <c r="B277" s="15"/>
      <c r="C277" s="15"/>
      <c r="D277" s="15"/>
      <c r="E277" s="15"/>
      <c r="F277" s="15"/>
      <c r="G277" s="15"/>
      <c r="H277" s="15"/>
      <c r="I277" s="15"/>
      <c r="J277" s="15"/>
      <c r="K277" s="47"/>
      <c r="L277" s="47"/>
      <c r="M277" s="47"/>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row>
    <row r="278" spans="1:41" x14ac:dyDescent="0.4">
      <c r="A278" s="15"/>
      <c r="B278" s="15"/>
      <c r="C278" s="15"/>
      <c r="D278" s="15"/>
      <c r="E278" s="15"/>
      <c r="F278" s="15"/>
      <c r="G278" s="15"/>
      <c r="H278" s="15"/>
      <c r="I278" s="15"/>
      <c r="J278" s="15"/>
      <c r="K278" s="47"/>
      <c r="L278" s="47"/>
      <c r="M278" s="47"/>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row>
    <row r="279" spans="1:41" x14ac:dyDescent="0.4">
      <c r="A279" s="15"/>
      <c r="B279" s="15"/>
      <c r="C279" s="15"/>
      <c r="D279" s="15"/>
      <c r="E279" s="15"/>
      <c r="F279" s="15"/>
      <c r="G279" s="15"/>
      <c r="H279" s="15"/>
      <c r="I279" s="15"/>
      <c r="J279" s="15"/>
      <c r="K279" s="47"/>
      <c r="L279" s="47"/>
      <c r="M279" s="47"/>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row>
    <row r="280" spans="1:41" x14ac:dyDescent="0.4">
      <c r="A280" s="15"/>
      <c r="B280" s="15"/>
      <c r="C280" s="15"/>
      <c r="D280" s="15"/>
      <c r="E280" s="15"/>
      <c r="F280" s="15"/>
      <c r="G280" s="15"/>
      <c r="H280" s="15"/>
      <c r="I280" s="15"/>
      <c r="J280" s="15"/>
      <c r="K280" s="47"/>
      <c r="L280" s="47"/>
      <c r="M280" s="47"/>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row>
    <row r="281" spans="1:41" x14ac:dyDescent="0.4">
      <c r="A281" s="15"/>
      <c r="B281" s="15"/>
      <c r="C281" s="15"/>
      <c r="D281" s="15"/>
      <c r="E281" s="15"/>
      <c r="F281" s="15"/>
      <c r="G281" s="15"/>
      <c r="H281" s="15"/>
      <c r="I281" s="15"/>
      <c r="J281" s="15"/>
      <c r="K281" s="47"/>
      <c r="L281" s="47"/>
      <c r="M281" s="47"/>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row>
    <row r="282" spans="1:41" x14ac:dyDescent="0.4">
      <c r="A282" s="15"/>
      <c r="B282" s="15"/>
      <c r="C282" s="15"/>
      <c r="D282" s="15"/>
      <c r="E282" s="15"/>
      <c r="F282" s="15"/>
      <c r="G282" s="15"/>
      <c r="H282" s="15"/>
      <c r="I282" s="15"/>
      <c r="J282" s="15"/>
      <c r="K282" s="47"/>
      <c r="L282" s="47"/>
      <c r="M282" s="47"/>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row>
    <row r="283" spans="1:41" x14ac:dyDescent="0.4">
      <c r="A283" s="15"/>
      <c r="B283" s="15"/>
      <c r="C283" s="15"/>
      <c r="D283" s="15"/>
      <c r="E283" s="15"/>
      <c r="F283" s="15"/>
      <c r="G283" s="15"/>
      <c r="H283" s="15"/>
      <c r="I283" s="15"/>
      <c r="J283" s="15"/>
      <c r="K283" s="47"/>
      <c r="L283" s="47"/>
      <c r="M283" s="47"/>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row>
    <row r="284" spans="1:41" x14ac:dyDescent="0.4">
      <c r="A284" s="15"/>
      <c r="B284" s="15"/>
      <c r="C284" s="15"/>
      <c r="D284" s="15"/>
      <c r="E284" s="15"/>
      <c r="F284" s="15"/>
      <c r="G284" s="15"/>
      <c r="H284" s="15"/>
      <c r="I284" s="15"/>
      <c r="J284" s="15"/>
      <c r="K284" s="47"/>
      <c r="L284" s="47"/>
      <c r="M284" s="47"/>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row>
    <row r="285" spans="1:41" x14ac:dyDescent="0.4">
      <c r="A285" s="15"/>
      <c r="B285" s="15"/>
      <c r="C285" s="15"/>
      <c r="D285" s="15"/>
      <c r="E285" s="15"/>
      <c r="F285" s="15"/>
      <c r="G285" s="15"/>
      <c r="H285" s="15"/>
      <c r="I285" s="15"/>
      <c r="J285" s="15"/>
      <c r="K285" s="47"/>
      <c r="L285" s="47"/>
      <c r="M285" s="47"/>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row>
    <row r="286" spans="1:41" x14ac:dyDescent="0.4">
      <c r="A286" s="15"/>
      <c r="B286" s="15"/>
      <c r="C286" s="15"/>
      <c r="D286" s="15"/>
      <c r="E286" s="15"/>
      <c r="F286" s="15"/>
      <c r="G286" s="15"/>
      <c r="H286" s="15"/>
      <c r="I286" s="15"/>
      <c r="J286" s="15"/>
      <c r="K286" s="47"/>
      <c r="L286" s="47"/>
      <c r="M286" s="47"/>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row>
    <row r="287" spans="1:41" x14ac:dyDescent="0.4">
      <c r="A287" s="15"/>
      <c r="B287" s="15"/>
      <c r="C287" s="15"/>
      <c r="D287" s="15"/>
      <c r="E287" s="15"/>
      <c r="F287" s="15"/>
      <c r="G287" s="15"/>
      <c r="H287" s="15"/>
      <c r="I287" s="15"/>
      <c r="J287" s="15"/>
      <c r="K287" s="47"/>
      <c r="L287" s="47"/>
      <c r="M287" s="47"/>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row>
    <row r="288" spans="1:41" x14ac:dyDescent="0.4">
      <c r="A288" s="15"/>
      <c r="B288" s="15"/>
      <c r="C288" s="15"/>
      <c r="D288" s="15"/>
      <c r="E288" s="15"/>
      <c r="F288" s="15"/>
      <c r="G288" s="15"/>
      <c r="H288" s="15"/>
      <c r="I288" s="15"/>
      <c r="J288" s="15"/>
      <c r="K288" s="47"/>
      <c r="L288" s="47"/>
      <c r="M288" s="47"/>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row>
    <row r="289" spans="1:41" x14ac:dyDescent="0.4">
      <c r="A289" s="15"/>
      <c r="B289" s="15"/>
      <c r="C289" s="15"/>
      <c r="D289" s="15"/>
      <c r="E289" s="15"/>
      <c r="F289" s="15"/>
      <c r="G289" s="15"/>
      <c r="H289" s="15"/>
      <c r="I289" s="15"/>
      <c r="J289" s="15"/>
      <c r="K289" s="47"/>
      <c r="L289" s="47"/>
      <c r="M289" s="47"/>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row>
    <row r="290" spans="1:41" x14ac:dyDescent="0.4">
      <c r="A290" s="15"/>
      <c r="B290" s="15"/>
      <c r="C290" s="15"/>
      <c r="D290" s="15"/>
      <c r="E290" s="15"/>
      <c r="F290" s="15"/>
      <c r="G290" s="15"/>
      <c r="H290" s="15"/>
      <c r="I290" s="15"/>
      <c r="J290" s="15"/>
      <c r="K290" s="47"/>
      <c r="L290" s="47"/>
      <c r="M290" s="47"/>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row>
    <row r="291" spans="1:41" x14ac:dyDescent="0.4">
      <c r="A291" s="15"/>
      <c r="B291" s="15"/>
      <c r="C291" s="15"/>
      <c r="D291" s="15"/>
      <c r="E291" s="15"/>
      <c r="F291" s="15"/>
      <c r="G291" s="15"/>
      <c r="H291" s="15"/>
      <c r="I291" s="15"/>
      <c r="J291" s="15"/>
      <c r="K291" s="47"/>
      <c r="L291" s="47"/>
      <c r="M291" s="47"/>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row>
    <row r="292" spans="1:41" x14ac:dyDescent="0.4">
      <c r="A292" s="15"/>
      <c r="B292" s="15"/>
      <c r="C292" s="15"/>
      <c r="D292" s="15"/>
      <c r="E292" s="15"/>
      <c r="F292" s="15"/>
      <c r="G292" s="15"/>
      <c r="H292" s="15"/>
      <c r="I292" s="15"/>
      <c r="J292" s="15"/>
      <c r="K292" s="47"/>
      <c r="L292" s="47"/>
      <c r="M292" s="47"/>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row>
    <row r="293" spans="1:41" x14ac:dyDescent="0.4">
      <c r="A293" s="15"/>
      <c r="B293" s="15"/>
      <c r="C293" s="15"/>
      <c r="D293" s="15"/>
      <c r="E293" s="15"/>
      <c r="F293" s="15"/>
      <c r="G293" s="15"/>
      <c r="H293" s="15"/>
      <c r="I293" s="15"/>
      <c r="J293" s="15"/>
      <c r="K293" s="47"/>
      <c r="L293" s="47"/>
      <c r="M293" s="47"/>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row>
    <row r="294" spans="1:41" x14ac:dyDescent="0.4">
      <c r="A294" s="15"/>
      <c r="B294" s="15"/>
      <c r="C294" s="15"/>
      <c r="D294" s="15"/>
      <c r="E294" s="15"/>
      <c r="F294" s="15"/>
      <c r="G294" s="15"/>
      <c r="H294" s="15"/>
      <c r="I294" s="15"/>
      <c r="J294" s="15"/>
      <c r="K294" s="47"/>
      <c r="L294" s="47"/>
      <c r="M294" s="47"/>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row>
    <row r="295" spans="1:41" x14ac:dyDescent="0.4">
      <c r="A295" s="15"/>
      <c r="B295" s="15"/>
      <c r="C295" s="15"/>
      <c r="D295" s="15"/>
      <c r="E295" s="15"/>
      <c r="F295" s="15"/>
      <c r="G295" s="15"/>
      <c r="H295" s="15"/>
      <c r="I295" s="15"/>
      <c r="J295" s="15"/>
      <c r="K295" s="47"/>
      <c r="L295" s="47"/>
      <c r="M295" s="47"/>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row>
    <row r="296" spans="1:41" x14ac:dyDescent="0.4">
      <c r="A296" s="15"/>
      <c r="B296" s="15"/>
      <c r="C296" s="15"/>
      <c r="D296" s="15"/>
      <c r="E296" s="15"/>
      <c r="F296" s="15"/>
      <c r="G296" s="15"/>
      <c r="H296" s="15"/>
      <c r="I296" s="15"/>
      <c r="J296" s="15"/>
      <c r="K296" s="47"/>
      <c r="L296" s="47"/>
      <c r="M296" s="47"/>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row>
    <row r="297" spans="1:41" x14ac:dyDescent="0.4">
      <c r="A297" s="15"/>
      <c r="B297" s="15"/>
      <c r="C297" s="15"/>
      <c r="D297" s="15"/>
      <c r="E297" s="15"/>
      <c r="F297" s="15"/>
      <c r="G297" s="15"/>
      <c r="H297" s="15"/>
      <c r="I297" s="15"/>
      <c r="J297" s="15"/>
      <c r="K297" s="47"/>
      <c r="L297" s="47"/>
      <c r="M297" s="47"/>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row>
    <row r="298" spans="1:41" x14ac:dyDescent="0.4">
      <c r="A298" s="15"/>
      <c r="B298" s="15"/>
      <c r="C298" s="15"/>
      <c r="D298" s="15"/>
      <c r="E298" s="15"/>
      <c r="F298" s="15"/>
      <c r="G298" s="15"/>
      <c r="H298" s="15"/>
      <c r="I298" s="15"/>
      <c r="J298" s="15"/>
      <c r="K298" s="47"/>
      <c r="L298" s="47"/>
      <c r="M298" s="47"/>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row>
    <row r="299" spans="1:41" x14ac:dyDescent="0.4">
      <c r="A299" s="15"/>
      <c r="B299" s="15"/>
      <c r="C299" s="15"/>
      <c r="D299" s="15"/>
      <c r="E299" s="15"/>
      <c r="F299" s="15"/>
      <c r="G299" s="15"/>
      <c r="H299" s="15"/>
      <c r="I299" s="15"/>
      <c r="J299" s="15"/>
      <c r="K299" s="47"/>
      <c r="L299" s="47"/>
      <c r="M299" s="47"/>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row>
    <row r="300" spans="1:41" x14ac:dyDescent="0.4">
      <c r="A300" s="15"/>
      <c r="B300" s="15"/>
      <c r="C300" s="15"/>
      <c r="D300" s="15"/>
      <c r="E300" s="15"/>
      <c r="F300" s="15"/>
      <c r="G300" s="15"/>
      <c r="H300" s="15"/>
      <c r="I300" s="15"/>
      <c r="J300" s="15"/>
      <c r="K300" s="47"/>
      <c r="L300" s="47"/>
      <c r="M300" s="47"/>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row>
    <row r="301" spans="1:41" x14ac:dyDescent="0.4">
      <c r="A301" s="15"/>
      <c r="B301" s="15"/>
      <c r="C301" s="15"/>
      <c r="D301" s="15"/>
      <c r="E301" s="15"/>
      <c r="F301" s="15"/>
      <c r="G301" s="15"/>
      <c r="H301" s="15"/>
      <c r="I301" s="15"/>
      <c r="J301" s="15"/>
      <c r="K301" s="47"/>
      <c r="L301" s="47"/>
      <c r="M301" s="47"/>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row>
    <row r="302" spans="1:41" x14ac:dyDescent="0.4">
      <c r="A302" s="15"/>
      <c r="B302" s="15"/>
      <c r="C302" s="15"/>
      <c r="D302" s="15"/>
      <c r="E302" s="15"/>
      <c r="F302" s="15"/>
      <c r="G302" s="15"/>
      <c r="H302" s="15"/>
      <c r="I302" s="15"/>
      <c r="J302" s="15"/>
      <c r="K302" s="47"/>
      <c r="L302" s="47"/>
      <c r="M302" s="47"/>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row>
    <row r="303" spans="1:41" x14ac:dyDescent="0.4">
      <c r="A303" s="15"/>
      <c r="B303" s="15"/>
      <c r="C303" s="15"/>
      <c r="D303" s="15"/>
      <c r="E303" s="15"/>
      <c r="F303" s="15"/>
      <c r="G303" s="15"/>
      <c r="H303" s="15"/>
      <c r="I303" s="15"/>
      <c r="J303" s="15"/>
      <c r="K303" s="47"/>
      <c r="L303" s="47"/>
      <c r="M303" s="47"/>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row>
    <row r="304" spans="1:41" x14ac:dyDescent="0.4">
      <c r="A304" s="15"/>
      <c r="B304" s="15"/>
      <c r="C304" s="15"/>
      <c r="D304" s="15"/>
      <c r="E304" s="15"/>
      <c r="F304" s="15"/>
      <c r="G304" s="15"/>
      <c r="H304" s="15"/>
      <c r="I304" s="15"/>
      <c r="J304" s="15"/>
      <c r="K304" s="47"/>
      <c r="L304" s="47"/>
      <c r="M304" s="47"/>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row>
    <row r="305" spans="1:41" x14ac:dyDescent="0.4">
      <c r="A305" s="15"/>
      <c r="B305" s="15"/>
      <c r="C305" s="15"/>
      <c r="D305" s="15"/>
      <c r="E305" s="15"/>
      <c r="F305" s="15"/>
      <c r="G305" s="15"/>
      <c r="H305" s="15"/>
      <c r="I305" s="15"/>
      <c r="J305" s="15"/>
      <c r="K305" s="47"/>
      <c r="L305" s="47"/>
      <c r="M305" s="47"/>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row>
    <row r="306" spans="1:41" x14ac:dyDescent="0.4">
      <c r="A306" s="15"/>
      <c r="B306" s="15"/>
      <c r="C306" s="15"/>
      <c r="D306" s="15"/>
      <c r="E306" s="15"/>
      <c r="F306" s="15"/>
      <c r="G306" s="15"/>
      <c r="H306" s="15"/>
      <c r="I306" s="15"/>
      <c r="J306" s="15"/>
      <c r="K306" s="47"/>
      <c r="L306" s="47"/>
      <c r="M306" s="47"/>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row>
    <row r="307" spans="1:41" x14ac:dyDescent="0.4">
      <c r="A307" s="15"/>
      <c r="B307" s="15"/>
      <c r="C307" s="15"/>
      <c r="D307" s="15"/>
      <c r="E307" s="15"/>
      <c r="F307" s="15"/>
      <c r="G307" s="15"/>
      <c r="H307" s="15"/>
      <c r="I307" s="15"/>
      <c r="J307" s="15"/>
      <c r="K307" s="47"/>
      <c r="L307" s="47"/>
      <c r="M307" s="47"/>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row>
    <row r="308" spans="1:41" x14ac:dyDescent="0.4">
      <c r="A308" s="15"/>
      <c r="B308" s="15"/>
      <c r="C308" s="15"/>
      <c r="D308" s="15"/>
      <c r="E308" s="15"/>
      <c r="F308" s="15"/>
      <c r="G308" s="15"/>
      <c r="H308" s="15"/>
      <c r="I308" s="15"/>
      <c r="J308" s="15"/>
      <c r="K308" s="47"/>
      <c r="L308" s="47"/>
      <c r="M308" s="47"/>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row>
    <row r="309" spans="1:41" x14ac:dyDescent="0.4">
      <c r="A309" s="15"/>
      <c r="B309" s="15"/>
      <c r="C309" s="15"/>
      <c r="D309" s="15"/>
      <c r="E309" s="15"/>
      <c r="F309" s="15"/>
      <c r="G309" s="15"/>
      <c r="H309" s="15"/>
      <c r="I309" s="15"/>
      <c r="J309" s="15"/>
      <c r="K309" s="47"/>
      <c r="L309" s="47"/>
      <c r="M309" s="47"/>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row>
    <row r="310" spans="1:41" x14ac:dyDescent="0.4">
      <c r="A310" s="15"/>
      <c r="B310" s="15"/>
      <c r="C310" s="15"/>
      <c r="D310" s="15"/>
      <c r="E310" s="15"/>
      <c r="F310" s="15"/>
      <c r="G310" s="15"/>
      <c r="H310" s="15"/>
      <c r="I310" s="15"/>
      <c r="J310" s="15"/>
      <c r="K310" s="47"/>
      <c r="L310" s="47"/>
      <c r="M310" s="47"/>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row>
    <row r="311" spans="1:41" x14ac:dyDescent="0.4">
      <c r="A311" s="15"/>
      <c r="B311" s="15"/>
      <c r="C311" s="15"/>
      <c r="D311" s="15"/>
      <c r="E311" s="15"/>
      <c r="F311" s="15"/>
      <c r="G311" s="15"/>
      <c r="H311" s="15"/>
      <c r="I311" s="15"/>
      <c r="J311" s="15"/>
      <c r="K311" s="47"/>
      <c r="L311" s="47"/>
      <c r="M311" s="47"/>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row>
    <row r="312" spans="1:41" x14ac:dyDescent="0.4">
      <c r="A312" s="15"/>
      <c r="B312" s="15"/>
      <c r="C312" s="15"/>
      <c r="D312" s="15"/>
      <c r="E312" s="15"/>
      <c r="F312" s="15"/>
      <c r="G312" s="15"/>
      <c r="H312" s="15"/>
      <c r="I312" s="15"/>
      <c r="J312" s="15"/>
      <c r="K312" s="47"/>
      <c r="L312" s="47"/>
      <c r="M312" s="47"/>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row>
    <row r="313" spans="1:41" x14ac:dyDescent="0.4">
      <c r="A313" s="15"/>
      <c r="B313" s="15"/>
      <c r="C313" s="15"/>
      <c r="D313" s="15"/>
      <c r="E313" s="15"/>
      <c r="F313" s="15"/>
      <c r="G313" s="15"/>
      <c r="H313" s="15"/>
      <c r="I313" s="15"/>
      <c r="J313" s="15"/>
      <c r="K313" s="47"/>
      <c r="L313" s="47"/>
      <c r="M313" s="47"/>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row>
    <row r="314" spans="1:41" x14ac:dyDescent="0.4">
      <c r="A314" s="15"/>
      <c r="B314" s="15"/>
      <c r="C314" s="15"/>
      <c r="D314" s="15"/>
      <c r="E314" s="15"/>
      <c r="F314" s="15"/>
      <c r="G314" s="15"/>
      <c r="H314" s="15"/>
      <c r="I314" s="15"/>
      <c r="J314" s="15"/>
      <c r="K314" s="47"/>
      <c r="L314" s="47"/>
      <c r="M314" s="47"/>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row>
    <row r="315" spans="1:41" x14ac:dyDescent="0.4">
      <c r="A315" s="15"/>
      <c r="B315" s="15"/>
      <c r="C315" s="15"/>
      <c r="D315" s="15"/>
      <c r="E315" s="15"/>
      <c r="F315" s="15"/>
      <c r="G315" s="15"/>
      <c r="H315" s="15"/>
      <c r="I315" s="15"/>
      <c r="J315" s="15"/>
      <c r="K315" s="47"/>
      <c r="L315" s="47"/>
      <c r="M315" s="47"/>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row>
    <row r="316" spans="1:41" x14ac:dyDescent="0.4">
      <c r="A316" s="15"/>
      <c r="B316" s="15"/>
      <c r="C316" s="15"/>
      <c r="D316" s="15"/>
      <c r="E316" s="15"/>
      <c r="F316" s="15"/>
      <c r="G316" s="15"/>
      <c r="H316" s="15"/>
      <c r="I316" s="15"/>
      <c r="J316" s="15"/>
      <c r="K316" s="47"/>
      <c r="L316" s="47"/>
      <c r="M316" s="47"/>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row>
    <row r="317" spans="1:41" x14ac:dyDescent="0.4">
      <c r="A317" s="15"/>
      <c r="B317" s="15"/>
      <c r="C317" s="15"/>
      <c r="D317" s="15"/>
      <c r="E317" s="15"/>
      <c r="F317" s="15"/>
      <c r="G317" s="15"/>
      <c r="H317" s="15"/>
      <c r="I317" s="15"/>
      <c r="J317" s="15"/>
      <c r="K317" s="47"/>
      <c r="L317" s="47"/>
      <c r="M317" s="47"/>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row>
    <row r="318" spans="1:41" x14ac:dyDescent="0.4">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row>
    <row r="319" spans="1:41" x14ac:dyDescent="0.4">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row>
    <row r="320" spans="1:41" x14ac:dyDescent="0.4">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row>
    <row r="321" spans="1:41" x14ac:dyDescent="0.4">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row>
    <row r="322" spans="1:41" x14ac:dyDescent="0.4">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row>
    <row r="323" spans="1:41" x14ac:dyDescent="0.4">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row>
    <row r="324" spans="1:41" x14ac:dyDescent="0.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row>
    <row r="325" spans="1:41" x14ac:dyDescent="0.4">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row>
    <row r="326" spans="1:41" x14ac:dyDescent="0.4">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row>
    <row r="327" spans="1:41" x14ac:dyDescent="0.4">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row>
    <row r="328" spans="1:41" x14ac:dyDescent="0.4">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row>
    <row r="329" spans="1:41" x14ac:dyDescent="0.4">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row>
    <row r="330" spans="1:41" x14ac:dyDescent="0.4">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row>
    <row r="331" spans="1:41" x14ac:dyDescent="0.4">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row>
    <row r="332" spans="1:41" x14ac:dyDescent="0.4">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row>
    <row r="333" spans="1:41" x14ac:dyDescent="0.4">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row>
    <row r="334" spans="1:41" x14ac:dyDescent="0.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row>
    <row r="335" spans="1:41" x14ac:dyDescent="0.4">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row>
    <row r="336" spans="1:41" x14ac:dyDescent="0.4">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row>
    <row r="337" spans="1:41" x14ac:dyDescent="0.4">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row>
    <row r="338" spans="1:41" x14ac:dyDescent="0.4">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row>
    <row r="339" spans="1:41" x14ac:dyDescent="0.4">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row>
    <row r="340" spans="1:41" x14ac:dyDescent="0.4">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row>
    <row r="341" spans="1:41" x14ac:dyDescent="0.4">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row>
    <row r="342" spans="1:41" x14ac:dyDescent="0.4">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row>
    <row r="343" spans="1:41" x14ac:dyDescent="0.4">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row>
    <row r="344" spans="1:41" x14ac:dyDescent="0.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row>
    <row r="345" spans="1:41" x14ac:dyDescent="0.4">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row>
    <row r="346" spans="1:41" x14ac:dyDescent="0.4">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row>
    <row r="347" spans="1:41" x14ac:dyDescent="0.4">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row>
    <row r="348" spans="1:41" x14ac:dyDescent="0.4">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row>
    <row r="349" spans="1:41" x14ac:dyDescent="0.4">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row>
    <row r="350" spans="1:41" x14ac:dyDescent="0.4">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row>
    <row r="351" spans="1:41" x14ac:dyDescent="0.4">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row>
    <row r="352" spans="1:41" x14ac:dyDescent="0.4">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row>
    <row r="353" spans="1:41" x14ac:dyDescent="0.4">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row>
    <row r="354" spans="1:41" x14ac:dyDescent="0.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row>
    <row r="355" spans="1:41" x14ac:dyDescent="0.4">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row>
    <row r="356" spans="1:41" x14ac:dyDescent="0.4">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row>
    <row r="357" spans="1:41" x14ac:dyDescent="0.4">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row>
    <row r="358" spans="1:41" x14ac:dyDescent="0.4">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row>
    <row r="359" spans="1:41" x14ac:dyDescent="0.4">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row>
    <row r="360" spans="1:41" x14ac:dyDescent="0.4">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row>
    <row r="361" spans="1:41" x14ac:dyDescent="0.4">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row>
    <row r="362" spans="1:41" x14ac:dyDescent="0.4">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row>
    <row r="363" spans="1:41" x14ac:dyDescent="0.4">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row>
    <row r="364" spans="1:41" x14ac:dyDescent="0.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row>
    <row r="365" spans="1:41" x14ac:dyDescent="0.4">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row>
    <row r="366" spans="1:41" x14ac:dyDescent="0.4">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row>
    <row r="367" spans="1:41" x14ac:dyDescent="0.4">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row>
    <row r="368" spans="1:41" x14ac:dyDescent="0.4">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row>
    <row r="369" spans="1:41" x14ac:dyDescent="0.4">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row>
    <row r="370" spans="1:41" x14ac:dyDescent="0.4">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row>
    <row r="371" spans="1:41" x14ac:dyDescent="0.4">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row>
    <row r="372" spans="1:41" x14ac:dyDescent="0.4">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row>
    <row r="373" spans="1:41" x14ac:dyDescent="0.4">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row>
    <row r="374" spans="1:41" x14ac:dyDescent="0.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row>
    <row r="375" spans="1:41" x14ac:dyDescent="0.4">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row>
    <row r="376" spans="1:41" x14ac:dyDescent="0.4">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row>
    <row r="377" spans="1:41" x14ac:dyDescent="0.4">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row>
    <row r="378" spans="1:41" x14ac:dyDescent="0.4">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row>
    <row r="379" spans="1:41" x14ac:dyDescent="0.4">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row>
    <row r="380" spans="1:41" x14ac:dyDescent="0.4">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row>
    <row r="381" spans="1:41" x14ac:dyDescent="0.4">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row>
    <row r="382" spans="1:41" x14ac:dyDescent="0.4">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row>
    <row r="383" spans="1:41" x14ac:dyDescent="0.4">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row>
    <row r="384" spans="1:41" x14ac:dyDescent="0.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row>
    <row r="385" spans="1:41" x14ac:dyDescent="0.4">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row>
    <row r="386" spans="1:41" x14ac:dyDescent="0.4">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row>
    <row r="387" spans="1:41" x14ac:dyDescent="0.4">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row>
    <row r="388" spans="1:41" x14ac:dyDescent="0.4">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row>
    <row r="389" spans="1:41" x14ac:dyDescent="0.4">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row>
    <row r="390" spans="1:41" x14ac:dyDescent="0.4">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row>
    <row r="391" spans="1:41" x14ac:dyDescent="0.4">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row>
    <row r="392" spans="1:41" x14ac:dyDescent="0.4">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row>
    <row r="393" spans="1:41" x14ac:dyDescent="0.4">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row>
    <row r="394" spans="1:41" x14ac:dyDescent="0.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row>
    <row r="395" spans="1:41" x14ac:dyDescent="0.4">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row>
    <row r="396" spans="1:41" x14ac:dyDescent="0.4">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row>
    <row r="397" spans="1:41" x14ac:dyDescent="0.4">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row>
    <row r="398" spans="1:41" x14ac:dyDescent="0.4">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row>
    <row r="399" spans="1:41" x14ac:dyDescent="0.4">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row>
    <row r="400" spans="1:41" x14ac:dyDescent="0.4">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row>
    <row r="401" spans="1:41" x14ac:dyDescent="0.4">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row>
    <row r="402" spans="1:41" x14ac:dyDescent="0.4">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row>
    <row r="403" spans="1:41" x14ac:dyDescent="0.4">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row>
    <row r="404" spans="1:41" x14ac:dyDescent="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row>
    <row r="405" spans="1:41" x14ac:dyDescent="0.4">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row>
    <row r="406" spans="1:41" x14ac:dyDescent="0.4">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row>
    <row r="407" spans="1:41" x14ac:dyDescent="0.4">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row>
    <row r="408" spans="1:41" x14ac:dyDescent="0.4">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row>
    <row r="409" spans="1:41" x14ac:dyDescent="0.4">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row>
    <row r="410" spans="1:41" x14ac:dyDescent="0.4">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row>
    <row r="411" spans="1:41" x14ac:dyDescent="0.4">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row>
    <row r="412" spans="1:41" x14ac:dyDescent="0.4">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row>
    <row r="413" spans="1:41" x14ac:dyDescent="0.4">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row>
    <row r="414" spans="1:41" x14ac:dyDescent="0.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row>
    <row r="415" spans="1:41" x14ac:dyDescent="0.4">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row>
    <row r="416" spans="1:41" x14ac:dyDescent="0.4">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row>
    <row r="417" spans="1:41" x14ac:dyDescent="0.4">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row>
    <row r="418" spans="1:41" x14ac:dyDescent="0.4">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row>
    <row r="419" spans="1:41" x14ac:dyDescent="0.4">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row>
    <row r="420" spans="1:41" x14ac:dyDescent="0.4">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row>
    <row r="421" spans="1:41" x14ac:dyDescent="0.4">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row>
    <row r="422" spans="1:41" x14ac:dyDescent="0.4">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row>
    <row r="423" spans="1:41" x14ac:dyDescent="0.4">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row>
    <row r="424" spans="1:41" x14ac:dyDescent="0.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row>
    <row r="425" spans="1:41" x14ac:dyDescent="0.4">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row>
    <row r="426" spans="1:41" x14ac:dyDescent="0.4">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row>
    <row r="427" spans="1:41" x14ac:dyDescent="0.4">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row>
    <row r="428" spans="1:41" x14ac:dyDescent="0.4">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row>
    <row r="429" spans="1:41" x14ac:dyDescent="0.4">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row>
    <row r="430" spans="1:41" x14ac:dyDescent="0.4">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row>
    <row r="431" spans="1:41" x14ac:dyDescent="0.4">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row>
    <row r="432" spans="1:41" x14ac:dyDescent="0.4">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row>
    <row r="433" spans="1:41" x14ac:dyDescent="0.4">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row>
    <row r="434" spans="1:41" x14ac:dyDescent="0.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row>
    <row r="435" spans="1:41" x14ac:dyDescent="0.4">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row>
    <row r="436" spans="1:41" x14ac:dyDescent="0.4">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row>
    <row r="437" spans="1:41" x14ac:dyDescent="0.4">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row>
    <row r="438" spans="1:41" x14ac:dyDescent="0.4">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row>
    <row r="439" spans="1:41" x14ac:dyDescent="0.4">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row>
    <row r="440" spans="1:41" x14ac:dyDescent="0.4">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row>
    <row r="441" spans="1:41" x14ac:dyDescent="0.4">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row>
    <row r="442" spans="1:41" x14ac:dyDescent="0.4">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row>
    <row r="443" spans="1:41" x14ac:dyDescent="0.4">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row>
    <row r="444" spans="1:41" x14ac:dyDescent="0.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row>
    <row r="445" spans="1:41" x14ac:dyDescent="0.4">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row>
    <row r="446" spans="1:41" x14ac:dyDescent="0.4">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row>
    <row r="447" spans="1:41" x14ac:dyDescent="0.4">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row>
    <row r="448" spans="1:41" x14ac:dyDescent="0.4">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row>
    <row r="449" spans="1:41" x14ac:dyDescent="0.4">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row>
    <row r="450" spans="1:41" x14ac:dyDescent="0.4">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row>
    <row r="451" spans="1:41" x14ac:dyDescent="0.4">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row>
    <row r="452" spans="1:41" x14ac:dyDescent="0.4">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row>
    <row r="453" spans="1:41" x14ac:dyDescent="0.4">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row>
    <row r="454" spans="1:41" x14ac:dyDescent="0.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row>
    <row r="455" spans="1:41" x14ac:dyDescent="0.4">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row>
    <row r="456" spans="1:41" x14ac:dyDescent="0.4">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row>
    <row r="457" spans="1:41" x14ac:dyDescent="0.4">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row>
    <row r="458" spans="1:41" x14ac:dyDescent="0.4">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row>
    <row r="459" spans="1:41" x14ac:dyDescent="0.4">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row>
    <row r="460" spans="1:41" x14ac:dyDescent="0.4">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row>
    <row r="461" spans="1:41" x14ac:dyDescent="0.4">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row>
    <row r="462" spans="1:41" x14ac:dyDescent="0.4">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row>
    <row r="463" spans="1:41" x14ac:dyDescent="0.4">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row>
    <row r="464" spans="1:41" x14ac:dyDescent="0.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row>
    <row r="465" spans="1:41" x14ac:dyDescent="0.4">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row>
    <row r="466" spans="1:41" x14ac:dyDescent="0.4">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row>
    <row r="467" spans="1:41" x14ac:dyDescent="0.4">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row>
    <row r="468" spans="1:41" x14ac:dyDescent="0.4">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row>
    <row r="469" spans="1:41" x14ac:dyDescent="0.4">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row>
    <row r="470" spans="1:41" x14ac:dyDescent="0.4">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row>
    <row r="471" spans="1:41" x14ac:dyDescent="0.4">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row>
    <row r="472" spans="1:41" x14ac:dyDescent="0.4">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row>
    <row r="473" spans="1:41" x14ac:dyDescent="0.4">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row>
    <row r="474" spans="1:41" x14ac:dyDescent="0.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row>
    <row r="475" spans="1:41" x14ac:dyDescent="0.4">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row>
    <row r="476" spans="1:41" x14ac:dyDescent="0.4">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row>
    <row r="477" spans="1:41" x14ac:dyDescent="0.4">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row>
    <row r="478" spans="1:41" x14ac:dyDescent="0.4">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row>
    <row r="479" spans="1:41" x14ac:dyDescent="0.4">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row>
    <row r="480" spans="1:41" x14ac:dyDescent="0.4">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row>
    <row r="481" spans="1:41" x14ac:dyDescent="0.4">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row>
    <row r="482" spans="1:41" x14ac:dyDescent="0.4">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row>
    <row r="483" spans="1:41" x14ac:dyDescent="0.4">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row>
    <row r="484" spans="1:41" x14ac:dyDescent="0.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row>
    <row r="485" spans="1:41" x14ac:dyDescent="0.4">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row>
    <row r="486" spans="1:41" x14ac:dyDescent="0.4">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row>
    <row r="487" spans="1:41" x14ac:dyDescent="0.4">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row>
    <row r="488" spans="1:41" x14ac:dyDescent="0.4">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row>
    <row r="489" spans="1:41" x14ac:dyDescent="0.4">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row>
    <row r="490" spans="1:41" x14ac:dyDescent="0.4">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row>
    <row r="491" spans="1:41" x14ac:dyDescent="0.4">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row>
    <row r="492" spans="1:41" x14ac:dyDescent="0.4">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row>
    <row r="493" spans="1:41" x14ac:dyDescent="0.4">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row>
    <row r="494" spans="1:41" x14ac:dyDescent="0.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row>
    <row r="495" spans="1:41" x14ac:dyDescent="0.4">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row>
    <row r="496" spans="1:41" x14ac:dyDescent="0.4">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row>
    <row r="497" spans="1:41" x14ac:dyDescent="0.4">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row>
    <row r="498" spans="1:41" x14ac:dyDescent="0.4">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row>
    <row r="499" spans="1:41" x14ac:dyDescent="0.4">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row>
    <row r="500" spans="1:41" x14ac:dyDescent="0.4">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row>
    <row r="501" spans="1:41" x14ac:dyDescent="0.4">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row>
    <row r="502" spans="1:41" x14ac:dyDescent="0.4">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row>
    <row r="503" spans="1:41" x14ac:dyDescent="0.4">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row>
    <row r="504" spans="1:41" x14ac:dyDescent="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row>
    <row r="505" spans="1:41" x14ac:dyDescent="0.4">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row>
    <row r="506" spans="1:41" x14ac:dyDescent="0.4">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row>
    <row r="507" spans="1:41" x14ac:dyDescent="0.4">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row>
    <row r="508" spans="1:41" x14ac:dyDescent="0.4">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row>
    <row r="509" spans="1:41" x14ac:dyDescent="0.4">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row>
    <row r="510" spans="1:41" x14ac:dyDescent="0.4">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row>
    <row r="511" spans="1:41" x14ac:dyDescent="0.4">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row>
    <row r="512" spans="1:41" x14ac:dyDescent="0.4">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row>
    <row r="513" spans="1:41" x14ac:dyDescent="0.4">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row>
    <row r="514" spans="1:41" x14ac:dyDescent="0.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row>
    <row r="515" spans="1:41" x14ac:dyDescent="0.4">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row>
    <row r="516" spans="1:41" x14ac:dyDescent="0.4">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row>
    <row r="517" spans="1:41" x14ac:dyDescent="0.4">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row>
    <row r="518" spans="1:41" x14ac:dyDescent="0.4">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row>
    <row r="519" spans="1:41" x14ac:dyDescent="0.4">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row>
    <row r="520" spans="1:41" x14ac:dyDescent="0.4">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row>
    <row r="521" spans="1:41" x14ac:dyDescent="0.4">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row>
    <row r="522" spans="1:41" x14ac:dyDescent="0.4">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row>
    <row r="523" spans="1:41" x14ac:dyDescent="0.4">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row>
    <row r="524" spans="1:41" x14ac:dyDescent="0.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row>
    <row r="525" spans="1:41" x14ac:dyDescent="0.4">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row>
    <row r="526" spans="1:41" x14ac:dyDescent="0.4">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row>
    <row r="527" spans="1:41" x14ac:dyDescent="0.4">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row>
    <row r="528" spans="1:41" x14ac:dyDescent="0.4">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row>
    <row r="529" spans="1:41" x14ac:dyDescent="0.4">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row>
    <row r="530" spans="1:41" x14ac:dyDescent="0.4">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row>
    <row r="531" spans="1:41" x14ac:dyDescent="0.4">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row>
    <row r="532" spans="1:41" x14ac:dyDescent="0.4">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row>
    <row r="533" spans="1:41" x14ac:dyDescent="0.4">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row>
    <row r="534" spans="1:41" x14ac:dyDescent="0.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row>
    <row r="535" spans="1:41" x14ac:dyDescent="0.4">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row>
    <row r="536" spans="1:41" x14ac:dyDescent="0.4">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row>
    <row r="537" spans="1:41" x14ac:dyDescent="0.4">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row>
    <row r="538" spans="1:41" x14ac:dyDescent="0.4">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row>
    <row r="539" spans="1:41" x14ac:dyDescent="0.4">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row>
    <row r="540" spans="1:41" x14ac:dyDescent="0.4">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row>
    <row r="541" spans="1:41" x14ac:dyDescent="0.4">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row>
    <row r="542" spans="1:41" x14ac:dyDescent="0.4">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row>
    <row r="543" spans="1:41" x14ac:dyDescent="0.4">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row>
    <row r="544" spans="1:41" x14ac:dyDescent="0.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row>
    <row r="545" spans="1:41" x14ac:dyDescent="0.4">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row>
    <row r="546" spans="1:41" x14ac:dyDescent="0.4">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row>
    <row r="547" spans="1:41" x14ac:dyDescent="0.4">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row>
    <row r="548" spans="1:41" x14ac:dyDescent="0.4">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row>
    <row r="549" spans="1:41" x14ac:dyDescent="0.4">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row>
    <row r="550" spans="1:41" x14ac:dyDescent="0.4">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row>
    <row r="551" spans="1:41" x14ac:dyDescent="0.4">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row>
    <row r="552" spans="1:41" x14ac:dyDescent="0.4">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row>
    <row r="553" spans="1:41" x14ac:dyDescent="0.4">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row>
    <row r="554" spans="1:41" x14ac:dyDescent="0.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row>
    <row r="555" spans="1:41" x14ac:dyDescent="0.4">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row>
    <row r="556" spans="1:41" x14ac:dyDescent="0.4">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row>
    <row r="557" spans="1:41" x14ac:dyDescent="0.4">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row>
    <row r="558" spans="1:41" x14ac:dyDescent="0.4">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row>
    <row r="559" spans="1:41" x14ac:dyDescent="0.4">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row>
    <row r="560" spans="1:41" x14ac:dyDescent="0.4">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row>
    <row r="561" spans="1:41" x14ac:dyDescent="0.4">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row>
    <row r="562" spans="1:41" x14ac:dyDescent="0.4">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row>
    <row r="563" spans="1:41" x14ac:dyDescent="0.4">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row>
    <row r="564" spans="1:41" x14ac:dyDescent="0.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row>
    <row r="565" spans="1:41" x14ac:dyDescent="0.4">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row>
    <row r="566" spans="1:41" x14ac:dyDescent="0.4">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row>
    <row r="567" spans="1:41" x14ac:dyDescent="0.4">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row>
    <row r="568" spans="1:41" x14ac:dyDescent="0.4">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row>
    <row r="569" spans="1:41" x14ac:dyDescent="0.4">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row>
    <row r="570" spans="1:41" x14ac:dyDescent="0.4">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row>
    <row r="571" spans="1:41" x14ac:dyDescent="0.4">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row>
    <row r="572" spans="1:41" x14ac:dyDescent="0.4">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row>
    <row r="573" spans="1:41" x14ac:dyDescent="0.4">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row>
    <row r="574" spans="1:41" x14ac:dyDescent="0.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row>
    <row r="575" spans="1:41" x14ac:dyDescent="0.4">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row>
    <row r="576" spans="1:41" x14ac:dyDescent="0.4">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row>
    <row r="577" spans="1:41" x14ac:dyDescent="0.4">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row>
    <row r="578" spans="1:41" x14ac:dyDescent="0.4">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row>
    <row r="579" spans="1:41" x14ac:dyDescent="0.4">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row>
    <row r="580" spans="1:41" x14ac:dyDescent="0.4">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row>
    <row r="581" spans="1:41" x14ac:dyDescent="0.4">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row>
    <row r="582" spans="1:41" x14ac:dyDescent="0.4">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row>
    <row r="583" spans="1:41" x14ac:dyDescent="0.4">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row>
    <row r="584" spans="1:41" x14ac:dyDescent="0.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row>
    <row r="585" spans="1:41" x14ac:dyDescent="0.4">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row>
    <row r="586" spans="1:41" x14ac:dyDescent="0.4">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row>
    <row r="587" spans="1:41" x14ac:dyDescent="0.4">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row>
    <row r="588" spans="1:41" x14ac:dyDescent="0.4">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row>
    <row r="589" spans="1:41" x14ac:dyDescent="0.4">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row>
    <row r="590" spans="1:41" x14ac:dyDescent="0.4">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row>
    <row r="591" spans="1:41" x14ac:dyDescent="0.4">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row>
    <row r="592" spans="1:41" x14ac:dyDescent="0.4">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row>
    <row r="593" spans="1:41" x14ac:dyDescent="0.4">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row>
    <row r="594" spans="1:41" x14ac:dyDescent="0.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row>
    <row r="595" spans="1:41" x14ac:dyDescent="0.4">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row>
    <row r="596" spans="1:41" x14ac:dyDescent="0.4">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row>
    <row r="597" spans="1:41" x14ac:dyDescent="0.4">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row>
    <row r="598" spans="1:41" x14ac:dyDescent="0.4">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row>
    <row r="599" spans="1:41" x14ac:dyDescent="0.4">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row>
    <row r="600" spans="1:41" x14ac:dyDescent="0.4">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row>
    <row r="601" spans="1:41" x14ac:dyDescent="0.4">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row>
    <row r="602" spans="1:41" x14ac:dyDescent="0.4">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row>
    <row r="603" spans="1:41" x14ac:dyDescent="0.4">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row>
    <row r="604" spans="1:41" x14ac:dyDescent="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row>
    <row r="605" spans="1:41" x14ac:dyDescent="0.4">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row>
    <row r="606" spans="1:41" x14ac:dyDescent="0.4">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row>
    <row r="607" spans="1:41" x14ac:dyDescent="0.4">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row>
    <row r="608" spans="1:41" x14ac:dyDescent="0.4">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row>
    <row r="609" spans="1:41" x14ac:dyDescent="0.4">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row>
    <row r="610" spans="1:41" x14ac:dyDescent="0.4">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row>
    <row r="611" spans="1:41" x14ac:dyDescent="0.4">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row>
    <row r="612" spans="1:41" x14ac:dyDescent="0.4">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row>
    <row r="613" spans="1:41" x14ac:dyDescent="0.4">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row>
    <row r="614" spans="1:41" x14ac:dyDescent="0.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row>
    <row r="615" spans="1:41" x14ac:dyDescent="0.4">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row>
    <row r="616" spans="1:41" x14ac:dyDescent="0.4">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row>
    <row r="617" spans="1:41" x14ac:dyDescent="0.4">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row>
    <row r="618" spans="1:41" x14ac:dyDescent="0.4">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row>
    <row r="619" spans="1:41" x14ac:dyDescent="0.4">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row>
    <row r="620" spans="1:41" x14ac:dyDescent="0.4">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row>
    <row r="621" spans="1:41" x14ac:dyDescent="0.4">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row>
    <row r="622" spans="1:41" x14ac:dyDescent="0.4">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row>
    <row r="623" spans="1:41" x14ac:dyDescent="0.4">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row>
    <row r="624" spans="1:41" x14ac:dyDescent="0.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row>
    <row r="625" spans="1:41" x14ac:dyDescent="0.4">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row>
    <row r="626" spans="1:41" x14ac:dyDescent="0.4">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row>
    <row r="627" spans="1:41" x14ac:dyDescent="0.4">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row>
    <row r="628" spans="1:41" x14ac:dyDescent="0.4">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row>
    <row r="629" spans="1:41" x14ac:dyDescent="0.4">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row>
    <row r="630" spans="1:41" x14ac:dyDescent="0.4">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row>
    <row r="631" spans="1:41" x14ac:dyDescent="0.4">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row>
    <row r="632" spans="1:41" x14ac:dyDescent="0.4">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row>
    <row r="633" spans="1:41" x14ac:dyDescent="0.4">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row>
    <row r="634" spans="1:41" x14ac:dyDescent="0.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row>
    <row r="635" spans="1:41" x14ac:dyDescent="0.4">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row>
    <row r="636" spans="1:41" x14ac:dyDescent="0.4">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row>
    <row r="637" spans="1:41" x14ac:dyDescent="0.4">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row>
    <row r="638" spans="1:41" x14ac:dyDescent="0.4">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row>
    <row r="639" spans="1:41" x14ac:dyDescent="0.4">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row>
    <row r="640" spans="1:41" x14ac:dyDescent="0.4">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row>
    <row r="641" spans="1:41" x14ac:dyDescent="0.4">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row>
    <row r="642" spans="1:41" x14ac:dyDescent="0.4">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row>
    <row r="643" spans="1:41" x14ac:dyDescent="0.4">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row>
    <row r="644" spans="1:41" x14ac:dyDescent="0.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row>
    <row r="645" spans="1:41" x14ac:dyDescent="0.4">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row>
    <row r="646" spans="1:41" x14ac:dyDescent="0.4">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row>
    <row r="647" spans="1:41" x14ac:dyDescent="0.4">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row>
    <row r="648" spans="1:41" x14ac:dyDescent="0.4">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row>
    <row r="649" spans="1:41" x14ac:dyDescent="0.4">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row>
    <row r="650" spans="1:41" x14ac:dyDescent="0.4">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row>
    <row r="651" spans="1:41" x14ac:dyDescent="0.4">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row>
    <row r="652" spans="1:41" x14ac:dyDescent="0.4">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row>
    <row r="653" spans="1:41" x14ac:dyDescent="0.4">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row>
    <row r="654" spans="1:41" x14ac:dyDescent="0.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row>
    <row r="655" spans="1:41" x14ac:dyDescent="0.4">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row>
    <row r="656" spans="1:41" x14ac:dyDescent="0.4">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row>
    <row r="657" spans="1:41" x14ac:dyDescent="0.4">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row>
    <row r="658" spans="1:41" x14ac:dyDescent="0.4">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row>
    <row r="659" spans="1:41" x14ac:dyDescent="0.4">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row>
    <row r="660" spans="1:41" x14ac:dyDescent="0.4">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row>
    <row r="661" spans="1:41" x14ac:dyDescent="0.4">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row>
    <row r="662" spans="1:41" x14ac:dyDescent="0.4">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row>
    <row r="663" spans="1:41" x14ac:dyDescent="0.4">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row>
    <row r="664" spans="1:41" x14ac:dyDescent="0.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row>
    <row r="665" spans="1:41" x14ac:dyDescent="0.4">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row>
    <row r="666" spans="1:41" x14ac:dyDescent="0.4">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row>
    <row r="667" spans="1:41" x14ac:dyDescent="0.4">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row>
    <row r="668" spans="1:41" x14ac:dyDescent="0.4">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row>
    <row r="669" spans="1:41" x14ac:dyDescent="0.4">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row>
    <row r="670" spans="1:41" x14ac:dyDescent="0.4">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row>
    <row r="671" spans="1:41" x14ac:dyDescent="0.4">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row>
    <row r="672" spans="1:41" x14ac:dyDescent="0.4">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row>
    <row r="673" spans="1:41" x14ac:dyDescent="0.4">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row>
    <row r="674" spans="1:41" x14ac:dyDescent="0.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row>
    <row r="675" spans="1:41" x14ac:dyDescent="0.4">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row>
    <row r="676" spans="1:41" x14ac:dyDescent="0.4">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row>
    <row r="677" spans="1:41" x14ac:dyDescent="0.4">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row>
    <row r="678" spans="1:41" x14ac:dyDescent="0.4">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row>
    <row r="679" spans="1:41" x14ac:dyDescent="0.4">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row>
    <row r="680" spans="1:41" x14ac:dyDescent="0.4">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row>
    <row r="681" spans="1:41" x14ac:dyDescent="0.4">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row>
    <row r="682" spans="1:41" x14ac:dyDescent="0.4">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row>
    <row r="683" spans="1:41" x14ac:dyDescent="0.4">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row>
    <row r="684" spans="1:41" x14ac:dyDescent="0.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row>
    <row r="685" spans="1:41" x14ac:dyDescent="0.4">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row>
    <row r="686" spans="1:41" x14ac:dyDescent="0.4">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row>
    <row r="687" spans="1:41" x14ac:dyDescent="0.4">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row>
    <row r="688" spans="1:41" x14ac:dyDescent="0.4">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row>
    <row r="689" spans="1:41" x14ac:dyDescent="0.4">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row>
    <row r="690" spans="1:41" x14ac:dyDescent="0.4">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row>
    <row r="691" spans="1:41" x14ac:dyDescent="0.4">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row>
    <row r="692" spans="1:41" x14ac:dyDescent="0.4">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row>
    <row r="693" spans="1:41" x14ac:dyDescent="0.4">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row>
    <row r="694" spans="1:41" x14ac:dyDescent="0.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row>
    <row r="695" spans="1:41" x14ac:dyDescent="0.4">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row>
    <row r="696" spans="1:41" x14ac:dyDescent="0.4">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row>
    <row r="697" spans="1:41" x14ac:dyDescent="0.4">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row>
    <row r="698" spans="1:41" x14ac:dyDescent="0.4">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row>
    <row r="699" spans="1:41" x14ac:dyDescent="0.4">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row>
    <row r="700" spans="1:41" x14ac:dyDescent="0.4">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row>
    <row r="701" spans="1:41" x14ac:dyDescent="0.4">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row>
    <row r="702" spans="1:41" x14ac:dyDescent="0.4">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row>
    <row r="703" spans="1:41" x14ac:dyDescent="0.4">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row>
    <row r="704" spans="1:41" x14ac:dyDescent="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row>
    <row r="705" spans="1:41" x14ac:dyDescent="0.4">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row>
    <row r="706" spans="1:41" x14ac:dyDescent="0.4">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row>
    <row r="707" spans="1:41" x14ac:dyDescent="0.4">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row>
    <row r="708" spans="1:41" x14ac:dyDescent="0.4">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row>
    <row r="709" spans="1:41" x14ac:dyDescent="0.4">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row>
    <row r="710" spans="1:41" x14ac:dyDescent="0.4">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row>
    <row r="711" spans="1:41" x14ac:dyDescent="0.4">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row>
    <row r="712" spans="1:41" x14ac:dyDescent="0.4">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row>
    <row r="713" spans="1:41" x14ac:dyDescent="0.4">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row>
    <row r="714" spans="1:41" x14ac:dyDescent="0.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row>
    <row r="715" spans="1:41" x14ac:dyDescent="0.4">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row>
    <row r="716" spans="1:41" x14ac:dyDescent="0.4">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row>
    <row r="717" spans="1:41" x14ac:dyDescent="0.4">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row>
    <row r="718" spans="1:41" x14ac:dyDescent="0.4">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row>
    <row r="719" spans="1:41" x14ac:dyDescent="0.4">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row>
    <row r="720" spans="1:41" x14ac:dyDescent="0.4">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row>
    <row r="721" spans="1:41" x14ac:dyDescent="0.4">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row>
    <row r="722" spans="1:41" x14ac:dyDescent="0.4">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row>
    <row r="723" spans="1:41" x14ac:dyDescent="0.4">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row>
    <row r="724" spans="1:41" x14ac:dyDescent="0.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row>
    <row r="725" spans="1:41" x14ac:dyDescent="0.4">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row>
    <row r="726" spans="1:41" x14ac:dyDescent="0.4">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row>
    <row r="727" spans="1:41" x14ac:dyDescent="0.4">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row>
    <row r="728" spans="1:41" x14ac:dyDescent="0.4">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row>
    <row r="729" spans="1:41" x14ac:dyDescent="0.4">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row>
    <row r="730" spans="1:41" x14ac:dyDescent="0.4">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row>
    <row r="731" spans="1:41" x14ac:dyDescent="0.4">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row>
    <row r="732" spans="1:41" x14ac:dyDescent="0.4">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row>
    <row r="733" spans="1:41" x14ac:dyDescent="0.4">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row>
    <row r="734" spans="1:41" x14ac:dyDescent="0.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row>
    <row r="735" spans="1:41" x14ac:dyDescent="0.4">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row>
    <row r="736" spans="1:41" x14ac:dyDescent="0.4">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row>
    <row r="737" spans="1:41" x14ac:dyDescent="0.4">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row>
    <row r="738" spans="1:41" x14ac:dyDescent="0.4">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row>
    <row r="739" spans="1:41" x14ac:dyDescent="0.4">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row>
    <row r="740" spans="1:41" x14ac:dyDescent="0.4">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row>
    <row r="741" spans="1:41" x14ac:dyDescent="0.4">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row>
    <row r="742" spans="1:41" x14ac:dyDescent="0.4">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row>
    <row r="743" spans="1:41" x14ac:dyDescent="0.4">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row>
    <row r="744" spans="1:41" x14ac:dyDescent="0.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row>
    <row r="745" spans="1:41" x14ac:dyDescent="0.4">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row>
    <row r="746" spans="1:41" x14ac:dyDescent="0.4">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row>
    <row r="747" spans="1:41" x14ac:dyDescent="0.4">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row>
    <row r="748" spans="1:41" x14ac:dyDescent="0.4">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row>
    <row r="749" spans="1:41" x14ac:dyDescent="0.4">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row>
    <row r="750" spans="1:41" x14ac:dyDescent="0.4">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row>
    <row r="751" spans="1:41" x14ac:dyDescent="0.4">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row>
    <row r="752" spans="1:41" x14ac:dyDescent="0.4">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row>
    <row r="753" spans="1:41" x14ac:dyDescent="0.4">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row>
    <row r="754" spans="1:41" x14ac:dyDescent="0.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row>
    <row r="755" spans="1:41" x14ac:dyDescent="0.4">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row>
    <row r="756" spans="1:41" x14ac:dyDescent="0.4">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row>
    <row r="757" spans="1:41" x14ac:dyDescent="0.4">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row>
    <row r="758" spans="1:41" x14ac:dyDescent="0.4">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row>
    <row r="759" spans="1:41" x14ac:dyDescent="0.4">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row>
    <row r="760" spans="1:41" x14ac:dyDescent="0.4">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row>
    <row r="761" spans="1:41" x14ac:dyDescent="0.4">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row>
    <row r="762" spans="1:41" x14ac:dyDescent="0.4">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row>
    <row r="763" spans="1:41" x14ac:dyDescent="0.4">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row>
    <row r="764" spans="1:41" x14ac:dyDescent="0.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row>
    <row r="765" spans="1:41" x14ac:dyDescent="0.4">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row>
    <row r="766" spans="1:41" x14ac:dyDescent="0.4">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row>
    <row r="767" spans="1:41" x14ac:dyDescent="0.4">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row>
    <row r="768" spans="1:41" x14ac:dyDescent="0.4">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row>
    <row r="769" spans="1:41" x14ac:dyDescent="0.4">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row>
    <row r="770" spans="1:41" x14ac:dyDescent="0.4">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row>
    <row r="771" spans="1:41" x14ac:dyDescent="0.4">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row>
    <row r="772" spans="1:41" x14ac:dyDescent="0.4">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row>
    <row r="773" spans="1:41" x14ac:dyDescent="0.4">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row>
    <row r="774" spans="1:41" x14ac:dyDescent="0.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row>
    <row r="775" spans="1:41" x14ac:dyDescent="0.4">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row>
    <row r="776" spans="1:41" x14ac:dyDescent="0.4">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row>
    <row r="777" spans="1:41" x14ac:dyDescent="0.4">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row>
    <row r="778" spans="1:41" x14ac:dyDescent="0.4">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row>
    <row r="779" spans="1:41" x14ac:dyDescent="0.4">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row>
    <row r="780" spans="1:41" x14ac:dyDescent="0.4">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row>
    <row r="781" spans="1:41" x14ac:dyDescent="0.4">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row>
    <row r="782" spans="1:41" x14ac:dyDescent="0.4">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row>
    <row r="783" spans="1:41" x14ac:dyDescent="0.4">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row>
    <row r="784" spans="1:41" x14ac:dyDescent="0.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row>
    <row r="785" spans="1:41" x14ac:dyDescent="0.4">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row>
    <row r="786" spans="1:41" x14ac:dyDescent="0.4">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row>
    <row r="787" spans="1:41" x14ac:dyDescent="0.4">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row>
    <row r="788" spans="1:41" x14ac:dyDescent="0.4">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row>
    <row r="789" spans="1:41" x14ac:dyDescent="0.4">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row>
    <row r="790" spans="1:41" x14ac:dyDescent="0.4">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row>
    <row r="791" spans="1:41" x14ac:dyDescent="0.4">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row>
    <row r="792" spans="1:41" x14ac:dyDescent="0.4">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row>
    <row r="793" spans="1:41" x14ac:dyDescent="0.4">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row>
    <row r="794" spans="1:41" x14ac:dyDescent="0.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row>
    <row r="795" spans="1:41" x14ac:dyDescent="0.4">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row>
    <row r="796" spans="1:41" x14ac:dyDescent="0.4">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row>
    <row r="797" spans="1:41" x14ac:dyDescent="0.4">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row>
    <row r="798" spans="1:41" x14ac:dyDescent="0.4">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row>
    <row r="799" spans="1:41" x14ac:dyDescent="0.4">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row>
    <row r="800" spans="1:41" x14ac:dyDescent="0.4">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row>
    <row r="801" spans="1:41" x14ac:dyDescent="0.4">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row>
    <row r="802" spans="1:41" x14ac:dyDescent="0.4">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row>
    <row r="803" spans="1:41" x14ac:dyDescent="0.4">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row>
    <row r="804" spans="1:41" x14ac:dyDescent="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row>
    <row r="805" spans="1:41" x14ac:dyDescent="0.4">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row>
    <row r="806" spans="1:41" x14ac:dyDescent="0.4">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row>
    <row r="807" spans="1:41" x14ac:dyDescent="0.4">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row>
    <row r="808" spans="1:41" x14ac:dyDescent="0.4">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row>
    <row r="809" spans="1:41" x14ac:dyDescent="0.4">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row>
    <row r="810" spans="1:41" x14ac:dyDescent="0.4">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row>
    <row r="811" spans="1:41" x14ac:dyDescent="0.4">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row>
    <row r="812" spans="1:41" x14ac:dyDescent="0.4">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row>
    <row r="813" spans="1:41" x14ac:dyDescent="0.4">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row>
    <row r="814" spans="1:41" x14ac:dyDescent="0.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row>
    <row r="815" spans="1:41" x14ac:dyDescent="0.4">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row>
    <row r="816" spans="1:41" x14ac:dyDescent="0.4">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row>
    <row r="817" spans="1:41" x14ac:dyDescent="0.4">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row>
    <row r="818" spans="1:41" x14ac:dyDescent="0.4">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row>
    <row r="819" spans="1:41" x14ac:dyDescent="0.4">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row>
    <row r="820" spans="1:41" x14ac:dyDescent="0.4">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row>
    <row r="821" spans="1:41" x14ac:dyDescent="0.4">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row>
    <row r="822" spans="1:41" x14ac:dyDescent="0.4">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row>
    <row r="823" spans="1:41" x14ac:dyDescent="0.4">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row>
    <row r="824" spans="1:41" x14ac:dyDescent="0.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row>
    <row r="825" spans="1:41" x14ac:dyDescent="0.4">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row>
    <row r="826" spans="1:41" x14ac:dyDescent="0.4">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row>
    <row r="827" spans="1:41" x14ac:dyDescent="0.4">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row>
    <row r="828" spans="1:41" x14ac:dyDescent="0.4">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row>
    <row r="829" spans="1:41" x14ac:dyDescent="0.4">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row>
    <row r="830" spans="1:41" x14ac:dyDescent="0.4">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row>
    <row r="831" spans="1:41" x14ac:dyDescent="0.4">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row>
    <row r="832" spans="1:41" x14ac:dyDescent="0.4">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row>
    <row r="833" spans="1:41" x14ac:dyDescent="0.4">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row>
    <row r="834" spans="1:41" x14ac:dyDescent="0.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row>
    <row r="835" spans="1:41" x14ac:dyDescent="0.4">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row>
    <row r="836" spans="1:41" x14ac:dyDescent="0.4">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row>
    <row r="837" spans="1:41" x14ac:dyDescent="0.4">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row>
    <row r="838" spans="1:41" x14ac:dyDescent="0.4">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row>
    <row r="839" spans="1:41" x14ac:dyDescent="0.4">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row>
    <row r="840" spans="1:41" x14ac:dyDescent="0.4">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row>
    <row r="841" spans="1:41" x14ac:dyDescent="0.4">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row>
    <row r="842" spans="1:41" x14ac:dyDescent="0.4">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row>
    <row r="843" spans="1:41" x14ac:dyDescent="0.4">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row>
    <row r="844" spans="1:41" x14ac:dyDescent="0.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row>
    <row r="845" spans="1:41" x14ac:dyDescent="0.4">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row>
    <row r="846" spans="1:41" x14ac:dyDescent="0.4">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row>
    <row r="847" spans="1:41" x14ac:dyDescent="0.4">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row>
    <row r="848" spans="1:41" x14ac:dyDescent="0.4">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row>
    <row r="849" spans="1:41" x14ac:dyDescent="0.4">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row>
    <row r="850" spans="1:41" x14ac:dyDescent="0.4">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row>
    <row r="851" spans="1:41" x14ac:dyDescent="0.4">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row>
    <row r="852" spans="1:41" x14ac:dyDescent="0.4">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row>
    <row r="853" spans="1:41" x14ac:dyDescent="0.4">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row>
    <row r="854" spans="1:41" x14ac:dyDescent="0.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row>
    <row r="855" spans="1:41" x14ac:dyDescent="0.4">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row>
    <row r="856" spans="1:41" x14ac:dyDescent="0.4">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row>
    <row r="857" spans="1:41" x14ac:dyDescent="0.4">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row>
    <row r="858" spans="1:41" x14ac:dyDescent="0.4">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row>
    <row r="859" spans="1:41" x14ac:dyDescent="0.4">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row>
    <row r="860" spans="1:41" x14ac:dyDescent="0.4">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row>
    <row r="861" spans="1:41" x14ac:dyDescent="0.4">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row>
    <row r="862" spans="1:41" x14ac:dyDescent="0.4">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row>
    <row r="863" spans="1:41" x14ac:dyDescent="0.4">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row>
    <row r="864" spans="1:41" x14ac:dyDescent="0.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row>
    <row r="865" spans="1:41" x14ac:dyDescent="0.4">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row>
    <row r="866" spans="1:41" x14ac:dyDescent="0.4">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row>
    <row r="867" spans="1:41" x14ac:dyDescent="0.4">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row>
    <row r="868" spans="1:41" x14ac:dyDescent="0.4">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row>
    <row r="869" spans="1:41" x14ac:dyDescent="0.4">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row>
    <row r="870" spans="1:41" x14ac:dyDescent="0.4">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row>
    <row r="871" spans="1:41" x14ac:dyDescent="0.4">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row>
    <row r="872" spans="1:41" x14ac:dyDescent="0.4">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row>
    <row r="873" spans="1:41" x14ac:dyDescent="0.4">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row>
    <row r="874" spans="1:41" x14ac:dyDescent="0.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row>
    <row r="875" spans="1:41" x14ac:dyDescent="0.4">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row>
    <row r="876" spans="1:41" x14ac:dyDescent="0.4">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row>
    <row r="877" spans="1:41" x14ac:dyDescent="0.4">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row>
    <row r="878" spans="1:41" x14ac:dyDescent="0.4">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row>
    <row r="879" spans="1:41" x14ac:dyDescent="0.4">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row>
    <row r="880" spans="1:41" x14ac:dyDescent="0.4">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row>
    <row r="881" spans="1:41" x14ac:dyDescent="0.4">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row>
    <row r="882" spans="1:41" x14ac:dyDescent="0.4">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row>
    <row r="883" spans="1:41" x14ac:dyDescent="0.4">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row>
    <row r="884" spans="1:41" x14ac:dyDescent="0.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row>
    <row r="885" spans="1:41" x14ac:dyDescent="0.4">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row>
    <row r="886" spans="1:41" x14ac:dyDescent="0.4">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row>
    <row r="887" spans="1:41" x14ac:dyDescent="0.4">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row>
    <row r="888" spans="1:41" x14ac:dyDescent="0.4">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row>
    <row r="889" spans="1:41" x14ac:dyDescent="0.4">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row>
    <row r="890" spans="1:41" x14ac:dyDescent="0.4">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row>
    <row r="891" spans="1:41" x14ac:dyDescent="0.4">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row>
    <row r="892" spans="1:41" x14ac:dyDescent="0.4">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row>
    <row r="893" spans="1:41" x14ac:dyDescent="0.4">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row>
    <row r="894" spans="1:41" x14ac:dyDescent="0.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row>
    <row r="895" spans="1:41" x14ac:dyDescent="0.4">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row>
    <row r="896" spans="1:41" x14ac:dyDescent="0.4">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row>
    <row r="897" spans="1:41" x14ac:dyDescent="0.4">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row>
    <row r="898" spans="1:41" x14ac:dyDescent="0.4">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row>
    <row r="899" spans="1:41" x14ac:dyDescent="0.4">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row>
    <row r="900" spans="1:41" x14ac:dyDescent="0.4">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row>
    <row r="901" spans="1:41" x14ac:dyDescent="0.4">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row>
    <row r="902" spans="1:41" x14ac:dyDescent="0.4">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row>
    <row r="903" spans="1:41" x14ac:dyDescent="0.4">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row>
    <row r="904" spans="1:41" x14ac:dyDescent="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row>
    <row r="905" spans="1:41" x14ac:dyDescent="0.4">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row>
    <row r="906" spans="1:41" x14ac:dyDescent="0.4">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row>
    <row r="907" spans="1:41" x14ac:dyDescent="0.4">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row>
    <row r="908" spans="1:41" x14ac:dyDescent="0.4">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row>
    <row r="909" spans="1:41" x14ac:dyDescent="0.4">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row>
    <row r="910" spans="1:41" x14ac:dyDescent="0.4">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row>
    <row r="911" spans="1:41" x14ac:dyDescent="0.4">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row>
    <row r="912" spans="1:41" x14ac:dyDescent="0.4">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row>
    <row r="913" spans="1:41" x14ac:dyDescent="0.4">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row>
    <row r="914" spans="1:41" x14ac:dyDescent="0.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row>
    <row r="915" spans="1:41" x14ac:dyDescent="0.4">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row>
    <row r="916" spans="1:41" x14ac:dyDescent="0.4">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row>
    <row r="917" spans="1:41" x14ac:dyDescent="0.4">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row>
    <row r="918" spans="1:41" x14ac:dyDescent="0.4">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row>
    <row r="919" spans="1:41" x14ac:dyDescent="0.4">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row>
    <row r="920" spans="1:41" x14ac:dyDescent="0.4">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row>
    <row r="921" spans="1:41" x14ac:dyDescent="0.4">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row>
    <row r="922" spans="1:41" x14ac:dyDescent="0.4">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row>
    <row r="923" spans="1:41" x14ac:dyDescent="0.4">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row>
    <row r="924" spans="1:41" x14ac:dyDescent="0.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row>
    <row r="925" spans="1:41" x14ac:dyDescent="0.4">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row>
    <row r="926" spans="1:41" x14ac:dyDescent="0.4">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row>
    <row r="927" spans="1:41" x14ac:dyDescent="0.4">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row>
    <row r="928" spans="1:41" x14ac:dyDescent="0.4">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row>
    <row r="929" spans="1:41" x14ac:dyDescent="0.4">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row>
    <row r="930" spans="1:41" x14ac:dyDescent="0.4">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row>
    <row r="931" spans="1:41" x14ac:dyDescent="0.4">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row>
    <row r="932" spans="1:41" x14ac:dyDescent="0.4">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row>
    <row r="933" spans="1:41" x14ac:dyDescent="0.4">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row>
    <row r="934" spans="1:41" x14ac:dyDescent="0.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row>
    <row r="935" spans="1:41" x14ac:dyDescent="0.4">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row>
    <row r="936" spans="1:41" x14ac:dyDescent="0.4">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row>
    <row r="937" spans="1:41" x14ac:dyDescent="0.4">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row>
    <row r="938" spans="1:41" x14ac:dyDescent="0.4">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row>
    <row r="939" spans="1:41" x14ac:dyDescent="0.4">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row>
    <row r="940" spans="1:41" x14ac:dyDescent="0.4">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row>
    <row r="941" spans="1:41" x14ac:dyDescent="0.4">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row>
    <row r="942" spans="1:41" x14ac:dyDescent="0.4">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row>
    <row r="943" spans="1:41" x14ac:dyDescent="0.4">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row>
    <row r="944" spans="1:41" x14ac:dyDescent="0.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row>
    <row r="945" spans="1:41" x14ac:dyDescent="0.4">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row>
    <row r="946" spans="1:41" x14ac:dyDescent="0.4">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row>
    <row r="947" spans="1:41" x14ac:dyDescent="0.4">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row>
    <row r="948" spans="1:41" x14ac:dyDescent="0.4">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row>
    <row r="949" spans="1:41" x14ac:dyDescent="0.4">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row>
    <row r="950" spans="1:41" x14ac:dyDescent="0.4">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row>
    <row r="951" spans="1:41" x14ac:dyDescent="0.4">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row>
    <row r="952" spans="1:41" x14ac:dyDescent="0.4">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row>
    <row r="953" spans="1:41" x14ac:dyDescent="0.4">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row>
    <row r="954" spans="1:41" x14ac:dyDescent="0.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row>
    <row r="955" spans="1:41" x14ac:dyDescent="0.4">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row>
    <row r="956" spans="1:41" x14ac:dyDescent="0.4">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row>
    <row r="957" spans="1:41" x14ac:dyDescent="0.4">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row>
    <row r="958" spans="1:41" x14ac:dyDescent="0.4">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row>
    <row r="959" spans="1:41" x14ac:dyDescent="0.4">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row>
    <row r="960" spans="1:41" x14ac:dyDescent="0.4">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row>
    <row r="961" spans="1:41" x14ac:dyDescent="0.4">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row>
    <row r="962" spans="1:41" x14ac:dyDescent="0.4">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row>
    <row r="963" spans="1:41" x14ac:dyDescent="0.4">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row>
    <row r="964" spans="1:41" x14ac:dyDescent="0.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row>
    <row r="965" spans="1:41" x14ac:dyDescent="0.4">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row>
    <row r="966" spans="1:41" x14ac:dyDescent="0.4">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row>
    <row r="967" spans="1:41" x14ac:dyDescent="0.4">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row>
    <row r="968" spans="1:41" x14ac:dyDescent="0.4">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row>
    <row r="969" spans="1:41" x14ac:dyDescent="0.4">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row>
    <row r="970" spans="1:41" x14ac:dyDescent="0.4">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row>
    <row r="971" spans="1:41" x14ac:dyDescent="0.4">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row>
    <row r="972" spans="1:41" x14ac:dyDescent="0.4">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row>
    <row r="973" spans="1:41" x14ac:dyDescent="0.4">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row>
    <row r="974" spans="1:41" x14ac:dyDescent="0.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row>
    <row r="975" spans="1:41" x14ac:dyDescent="0.4">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row>
    <row r="976" spans="1:41" x14ac:dyDescent="0.4">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row>
    <row r="977" spans="1:41" x14ac:dyDescent="0.4">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row>
    <row r="978" spans="1:41" x14ac:dyDescent="0.4">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row>
    <row r="979" spans="1:41" x14ac:dyDescent="0.4">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row>
    <row r="980" spans="1:41" x14ac:dyDescent="0.4">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row>
    <row r="981" spans="1:41" x14ac:dyDescent="0.4">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row>
    <row r="982" spans="1:41" x14ac:dyDescent="0.4">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row>
    <row r="983" spans="1:41" x14ac:dyDescent="0.4">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row>
    <row r="984" spans="1:41" x14ac:dyDescent="0.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row>
    <row r="985" spans="1:41" x14ac:dyDescent="0.4">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row>
    <row r="986" spans="1:41" x14ac:dyDescent="0.4">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row>
    <row r="987" spans="1:41" x14ac:dyDescent="0.4">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row>
    <row r="988" spans="1:41" x14ac:dyDescent="0.4">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row>
    <row r="989" spans="1:41" x14ac:dyDescent="0.4">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row>
    <row r="990" spans="1:41" x14ac:dyDescent="0.4">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row>
    <row r="991" spans="1:41" x14ac:dyDescent="0.4">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row>
    <row r="992" spans="1:41" x14ac:dyDescent="0.4">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row>
    <row r="993" spans="1:41" x14ac:dyDescent="0.4">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row>
    <row r="994" spans="1:41" x14ac:dyDescent="0.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row>
    <row r="995" spans="1:41" x14ac:dyDescent="0.4">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row>
    <row r="996" spans="1:41" x14ac:dyDescent="0.4">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row>
    <row r="997" spans="1:41" x14ac:dyDescent="0.4">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row>
    <row r="998" spans="1:41" x14ac:dyDescent="0.4">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row>
    <row r="999" spans="1:41" x14ac:dyDescent="0.4">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row>
    <row r="1000" spans="1:41" x14ac:dyDescent="0.4">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row>
    <row r="1001" spans="1:41" x14ac:dyDescent="0.4">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row>
    <row r="1002" spans="1:41" x14ac:dyDescent="0.4">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row>
    <row r="1003" spans="1:41" x14ac:dyDescent="0.4">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row>
    <row r="1004" spans="1:41" x14ac:dyDescent="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row>
    <row r="1005" spans="1:41" x14ac:dyDescent="0.4">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row>
    <row r="1006" spans="1:41" x14ac:dyDescent="0.4">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row>
    <row r="1007" spans="1:41" x14ac:dyDescent="0.4">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row>
    <row r="1008" spans="1:41" x14ac:dyDescent="0.4">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row>
    <row r="1009" spans="1:41" x14ac:dyDescent="0.4">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row>
    <row r="1010" spans="1:41" x14ac:dyDescent="0.4">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row>
    <row r="1011" spans="1:41" x14ac:dyDescent="0.4">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row>
    <row r="1012" spans="1:41" x14ac:dyDescent="0.4">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c r="AL1012" s="15"/>
      <c r="AM1012" s="15"/>
      <c r="AN1012" s="15"/>
      <c r="AO1012" s="15"/>
    </row>
    <row r="1013" spans="1:41" x14ac:dyDescent="0.4">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row>
    <row r="1014" spans="1:41" x14ac:dyDescent="0.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row>
    <row r="1015" spans="1:41" x14ac:dyDescent="0.4">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c r="AJ1015" s="15"/>
      <c r="AK1015" s="15"/>
      <c r="AL1015" s="15"/>
      <c r="AM1015" s="15"/>
      <c r="AN1015" s="15"/>
      <c r="AO1015" s="15"/>
    </row>
    <row r="1016" spans="1:41" x14ac:dyDescent="0.4">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row>
    <row r="1017" spans="1:41" x14ac:dyDescent="0.4">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c r="AJ1017" s="15"/>
      <c r="AK1017" s="15"/>
      <c r="AL1017" s="15"/>
      <c r="AM1017" s="15"/>
      <c r="AN1017" s="15"/>
      <c r="AO1017" s="15"/>
    </row>
    <row r="1018" spans="1:41" x14ac:dyDescent="0.4">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c r="AJ1018" s="15"/>
      <c r="AK1018" s="15"/>
      <c r="AL1018" s="15"/>
      <c r="AM1018" s="15"/>
      <c r="AN1018" s="15"/>
      <c r="AO1018" s="15"/>
    </row>
    <row r="1019" spans="1:41" x14ac:dyDescent="0.4">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c r="AJ1019" s="15"/>
      <c r="AK1019" s="15"/>
      <c r="AL1019" s="15"/>
      <c r="AM1019" s="15"/>
      <c r="AN1019" s="15"/>
      <c r="AO1019" s="15"/>
    </row>
    <row r="1020" spans="1:41" x14ac:dyDescent="0.4">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c r="AJ1020" s="15"/>
      <c r="AK1020" s="15"/>
      <c r="AL1020" s="15"/>
      <c r="AM1020" s="15"/>
      <c r="AN1020" s="15"/>
      <c r="AO1020" s="15"/>
    </row>
    <row r="1021" spans="1:41" x14ac:dyDescent="0.4">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row>
    <row r="1022" spans="1:41" x14ac:dyDescent="0.4">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c r="AJ1022" s="15"/>
      <c r="AK1022" s="15"/>
      <c r="AL1022" s="15"/>
      <c r="AM1022" s="15"/>
      <c r="AN1022" s="15"/>
      <c r="AO1022" s="15"/>
    </row>
    <row r="1023" spans="1:41" x14ac:dyDescent="0.4">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c r="AJ1023" s="15"/>
      <c r="AK1023" s="15"/>
      <c r="AL1023" s="15"/>
      <c r="AM1023" s="15"/>
      <c r="AN1023" s="15"/>
      <c r="AO1023" s="15"/>
    </row>
    <row r="1024" spans="1:41" x14ac:dyDescent="0.4">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row>
    <row r="1025" spans="1:41" x14ac:dyDescent="0.4">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c r="AJ1025" s="15"/>
      <c r="AK1025" s="15"/>
      <c r="AL1025" s="15"/>
      <c r="AM1025" s="15"/>
      <c r="AN1025" s="15"/>
      <c r="AO1025" s="15"/>
    </row>
    <row r="1026" spans="1:41" x14ac:dyDescent="0.4">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c r="AJ1026" s="15"/>
      <c r="AK1026" s="15"/>
      <c r="AL1026" s="15"/>
      <c r="AM1026" s="15"/>
      <c r="AN1026" s="15"/>
      <c r="AO1026" s="15"/>
    </row>
    <row r="1027" spans="1:41" x14ac:dyDescent="0.4">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c r="AJ1027" s="15"/>
      <c r="AK1027" s="15"/>
      <c r="AL1027" s="15"/>
      <c r="AM1027" s="15"/>
      <c r="AN1027" s="15"/>
      <c r="AO1027" s="15"/>
    </row>
    <row r="1028" spans="1:41" x14ac:dyDescent="0.4">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c r="AJ1028" s="15"/>
      <c r="AK1028" s="15"/>
      <c r="AL1028" s="15"/>
      <c r="AM1028" s="15"/>
      <c r="AN1028" s="15"/>
      <c r="AO1028" s="15"/>
    </row>
    <row r="1029" spans="1:41" x14ac:dyDescent="0.4">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c r="AJ1029" s="15"/>
      <c r="AK1029" s="15"/>
      <c r="AL1029" s="15"/>
      <c r="AM1029" s="15"/>
      <c r="AN1029" s="15"/>
      <c r="AO1029" s="15"/>
    </row>
    <row r="1030" spans="1:41" x14ac:dyDescent="0.4">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c r="AJ1030" s="15"/>
      <c r="AK1030" s="15"/>
      <c r="AL1030" s="15"/>
      <c r="AM1030" s="15"/>
      <c r="AN1030" s="15"/>
      <c r="AO1030" s="15"/>
    </row>
    <row r="1031" spans="1:41" x14ac:dyDescent="0.4">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row>
    <row r="1032" spans="1:41" x14ac:dyDescent="0.4">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c r="AJ1032" s="15"/>
      <c r="AK1032" s="15"/>
      <c r="AL1032" s="15"/>
      <c r="AM1032" s="15"/>
      <c r="AN1032" s="15"/>
      <c r="AO1032" s="15"/>
    </row>
    <row r="1033" spans="1:41" x14ac:dyDescent="0.4">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row>
    <row r="1034" spans="1:41" x14ac:dyDescent="0.4">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c r="AJ1034" s="15"/>
      <c r="AK1034" s="15"/>
      <c r="AL1034" s="15"/>
      <c r="AM1034" s="15"/>
      <c r="AN1034" s="15"/>
      <c r="AO1034" s="15"/>
    </row>
    <row r="1035" spans="1:41" x14ac:dyDescent="0.4">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c r="AF1035" s="15"/>
      <c r="AG1035" s="15"/>
      <c r="AH1035" s="15"/>
      <c r="AI1035" s="15"/>
      <c r="AJ1035" s="15"/>
      <c r="AK1035" s="15"/>
      <c r="AL1035" s="15"/>
      <c r="AM1035" s="15"/>
      <c r="AN1035" s="15"/>
      <c r="AO1035" s="15"/>
    </row>
    <row r="1036" spans="1:41" x14ac:dyDescent="0.4">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row>
    <row r="1037" spans="1:41" x14ac:dyDescent="0.4">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c r="AK1037" s="15"/>
      <c r="AL1037" s="15"/>
      <c r="AM1037" s="15"/>
      <c r="AN1037" s="15"/>
      <c r="AO1037" s="15"/>
    </row>
    <row r="1038" spans="1:41" x14ac:dyDescent="0.4">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c r="AJ1038" s="15"/>
      <c r="AK1038" s="15"/>
      <c r="AL1038" s="15"/>
      <c r="AM1038" s="15"/>
      <c r="AN1038" s="15"/>
      <c r="AO1038" s="15"/>
    </row>
    <row r="1039" spans="1:41" x14ac:dyDescent="0.4">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row>
    <row r="1040" spans="1:41" x14ac:dyDescent="0.4">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row>
    <row r="1041" spans="1:41" x14ac:dyDescent="0.4">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c r="AJ1041" s="15"/>
      <c r="AK1041" s="15"/>
      <c r="AL1041" s="15"/>
      <c r="AM1041" s="15"/>
      <c r="AN1041" s="15"/>
      <c r="AO1041" s="15"/>
    </row>
    <row r="1042" spans="1:41" x14ac:dyDescent="0.4">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row>
    <row r="1043" spans="1:41" x14ac:dyDescent="0.4">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c r="AF1043" s="15"/>
      <c r="AG1043" s="15"/>
      <c r="AH1043" s="15"/>
      <c r="AI1043" s="15"/>
      <c r="AJ1043" s="15"/>
      <c r="AK1043" s="15"/>
      <c r="AL1043" s="15"/>
      <c r="AM1043" s="15"/>
      <c r="AN1043" s="15"/>
      <c r="AO1043" s="15"/>
    </row>
    <row r="1044" spans="1:41" x14ac:dyDescent="0.4">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c r="AK1044" s="15"/>
      <c r="AL1044" s="15"/>
      <c r="AM1044" s="15"/>
      <c r="AN1044" s="15"/>
      <c r="AO1044" s="15"/>
    </row>
    <row r="1045" spans="1:41" x14ac:dyDescent="0.4">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5"/>
      <c r="AD1045" s="15"/>
      <c r="AE1045" s="15"/>
      <c r="AF1045" s="15"/>
      <c r="AG1045" s="15"/>
      <c r="AH1045" s="15"/>
      <c r="AI1045" s="15"/>
      <c r="AJ1045" s="15"/>
      <c r="AK1045" s="15"/>
      <c r="AL1045" s="15"/>
      <c r="AM1045" s="15"/>
      <c r="AN1045" s="15"/>
      <c r="AO1045" s="15"/>
    </row>
    <row r="1046" spans="1:41" x14ac:dyDescent="0.4">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c r="AJ1046" s="15"/>
      <c r="AK1046" s="15"/>
      <c r="AL1046" s="15"/>
      <c r="AM1046" s="15"/>
      <c r="AN1046" s="15"/>
      <c r="AO1046" s="15"/>
    </row>
    <row r="1047" spans="1:41" x14ac:dyDescent="0.4">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5"/>
      <c r="AD1047" s="15"/>
      <c r="AE1047" s="15"/>
      <c r="AF1047" s="15"/>
      <c r="AG1047" s="15"/>
      <c r="AH1047" s="15"/>
      <c r="AI1047" s="15"/>
      <c r="AJ1047" s="15"/>
      <c r="AK1047" s="15"/>
      <c r="AL1047" s="15"/>
      <c r="AM1047" s="15"/>
      <c r="AN1047" s="15"/>
      <c r="AO1047" s="15"/>
    </row>
    <row r="1048" spans="1:41" x14ac:dyDescent="0.4">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c r="AJ1048" s="15"/>
      <c r="AK1048" s="15"/>
      <c r="AL1048" s="15"/>
      <c r="AM1048" s="15"/>
      <c r="AN1048" s="15"/>
      <c r="AO1048" s="15"/>
    </row>
    <row r="1049" spans="1:41" x14ac:dyDescent="0.4">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c r="AJ1049" s="15"/>
      <c r="AK1049" s="15"/>
      <c r="AL1049" s="15"/>
      <c r="AM1049" s="15"/>
      <c r="AN1049" s="15"/>
      <c r="AO1049" s="15"/>
    </row>
    <row r="1050" spans="1:41" x14ac:dyDescent="0.4">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c r="AJ1050" s="15"/>
      <c r="AK1050" s="15"/>
      <c r="AL1050" s="15"/>
      <c r="AM1050" s="15"/>
      <c r="AN1050" s="15"/>
      <c r="AO1050" s="15"/>
    </row>
    <row r="1051" spans="1:41" x14ac:dyDescent="0.4">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c r="AC1051" s="15"/>
      <c r="AD1051" s="15"/>
      <c r="AE1051" s="15"/>
      <c r="AF1051" s="15"/>
      <c r="AG1051" s="15"/>
      <c r="AH1051" s="15"/>
      <c r="AI1051" s="15"/>
      <c r="AJ1051" s="15"/>
      <c r="AK1051" s="15"/>
      <c r="AL1051" s="15"/>
      <c r="AM1051" s="15"/>
      <c r="AN1051" s="15"/>
      <c r="AO1051" s="15"/>
    </row>
    <row r="1052" spans="1:41" x14ac:dyDescent="0.4">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c r="AD1052" s="15"/>
      <c r="AE1052" s="15"/>
      <c r="AF1052" s="15"/>
      <c r="AG1052" s="15"/>
      <c r="AH1052" s="15"/>
      <c r="AI1052" s="15"/>
      <c r="AJ1052" s="15"/>
      <c r="AK1052" s="15"/>
      <c r="AL1052" s="15"/>
      <c r="AM1052" s="15"/>
      <c r="AN1052" s="15"/>
      <c r="AO1052" s="15"/>
    </row>
    <row r="1053" spans="1:41" x14ac:dyDescent="0.4">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c r="AC1053" s="15"/>
      <c r="AD1053" s="15"/>
      <c r="AE1053" s="15"/>
      <c r="AF1053" s="15"/>
      <c r="AG1053" s="15"/>
      <c r="AH1053" s="15"/>
      <c r="AI1053" s="15"/>
      <c r="AJ1053" s="15"/>
      <c r="AK1053" s="15"/>
      <c r="AL1053" s="15"/>
      <c r="AM1053" s="15"/>
      <c r="AN1053" s="15"/>
      <c r="AO1053" s="15"/>
    </row>
    <row r="1054" spans="1:41" x14ac:dyDescent="0.4">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15"/>
      <c r="AF1054" s="15"/>
      <c r="AG1054" s="15"/>
      <c r="AH1054" s="15"/>
      <c r="AI1054" s="15"/>
      <c r="AJ1054" s="15"/>
      <c r="AK1054" s="15"/>
      <c r="AL1054" s="15"/>
      <c r="AM1054" s="15"/>
      <c r="AN1054" s="15"/>
      <c r="AO1054" s="15"/>
    </row>
    <row r="1055" spans="1:41" x14ac:dyDescent="0.4">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5"/>
      <c r="AE1055" s="15"/>
      <c r="AF1055" s="15"/>
      <c r="AG1055" s="15"/>
      <c r="AH1055" s="15"/>
      <c r="AI1055" s="15"/>
      <c r="AJ1055" s="15"/>
      <c r="AK1055" s="15"/>
      <c r="AL1055" s="15"/>
      <c r="AM1055" s="15"/>
      <c r="AN1055" s="15"/>
      <c r="AO1055" s="15"/>
    </row>
    <row r="1056" spans="1:41" x14ac:dyDescent="0.4">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5"/>
      <c r="AE1056" s="15"/>
      <c r="AF1056" s="15"/>
      <c r="AG1056" s="15"/>
      <c r="AH1056" s="15"/>
      <c r="AI1056" s="15"/>
      <c r="AJ1056" s="15"/>
      <c r="AK1056" s="15"/>
      <c r="AL1056" s="15"/>
      <c r="AM1056" s="15"/>
      <c r="AN1056" s="15"/>
      <c r="AO1056" s="15"/>
    </row>
    <row r="1057" spans="1:41" x14ac:dyDescent="0.4">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row>
    <row r="1058" spans="1:41" x14ac:dyDescent="0.4">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5"/>
      <c r="AE1058" s="15"/>
      <c r="AF1058" s="15"/>
      <c r="AG1058" s="15"/>
      <c r="AH1058" s="15"/>
      <c r="AI1058" s="15"/>
      <c r="AJ1058" s="15"/>
      <c r="AK1058" s="15"/>
      <c r="AL1058" s="15"/>
      <c r="AM1058" s="15"/>
      <c r="AN1058" s="15"/>
      <c r="AO1058" s="15"/>
    </row>
    <row r="1059" spans="1:41" x14ac:dyDescent="0.4">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c r="AJ1059" s="15"/>
      <c r="AK1059" s="15"/>
      <c r="AL1059" s="15"/>
      <c r="AM1059" s="15"/>
      <c r="AN1059" s="15"/>
      <c r="AO1059" s="15"/>
    </row>
    <row r="1060" spans="1:41" x14ac:dyDescent="0.4">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15"/>
      <c r="AF1060" s="15"/>
      <c r="AG1060" s="15"/>
      <c r="AH1060" s="15"/>
      <c r="AI1060" s="15"/>
      <c r="AJ1060" s="15"/>
      <c r="AK1060" s="15"/>
      <c r="AL1060" s="15"/>
      <c r="AM1060" s="15"/>
      <c r="AN1060" s="15"/>
      <c r="AO1060" s="15"/>
    </row>
    <row r="1061" spans="1:41" x14ac:dyDescent="0.4">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5"/>
      <c r="AE1061" s="15"/>
      <c r="AF1061" s="15"/>
      <c r="AG1061" s="15"/>
      <c r="AH1061" s="15"/>
      <c r="AI1061" s="15"/>
      <c r="AJ1061" s="15"/>
      <c r="AK1061" s="15"/>
      <c r="AL1061" s="15"/>
      <c r="AM1061" s="15"/>
      <c r="AN1061" s="15"/>
      <c r="AO1061" s="15"/>
    </row>
    <row r="1062" spans="1:41" x14ac:dyDescent="0.4">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c r="AC1062" s="15"/>
      <c r="AD1062" s="15"/>
      <c r="AE1062" s="15"/>
      <c r="AF1062" s="15"/>
      <c r="AG1062" s="15"/>
      <c r="AH1062" s="15"/>
      <c r="AI1062" s="15"/>
      <c r="AJ1062" s="15"/>
      <c r="AK1062" s="15"/>
      <c r="AL1062" s="15"/>
      <c r="AM1062" s="15"/>
      <c r="AN1062" s="15"/>
      <c r="AO1062" s="15"/>
    </row>
    <row r="1063" spans="1:41" x14ac:dyDescent="0.4">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15"/>
      <c r="AF1063" s="15"/>
      <c r="AG1063" s="15"/>
      <c r="AH1063" s="15"/>
      <c r="AI1063" s="15"/>
      <c r="AJ1063" s="15"/>
      <c r="AK1063" s="15"/>
      <c r="AL1063" s="15"/>
      <c r="AM1063" s="15"/>
      <c r="AN1063" s="15"/>
      <c r="AO1063" s="15"/>
    </row>
    <row r="1064" spans="1:41" x14ac:dyDescent="0.4">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c r="AC1064" s="15"/>
      <c r="AD1064" s="15"/>
      <c r="AE1064" s="15"/>
      <c r="AF1064" s="15"/>
      <c r="AG1064" s="15"/>
      <c r="AH1064" s="15"/>
      <c r="AI1064" s="15"/>
      <c r="AJ1064" s="15"/>
      <c r="AK1064" s="15"/>
      <c r="AL1064" s="15"/>
      <c r="AM1064" s="15"/>
      <c r="AN1064" s="15"/>
      <c r="AO1064" s="15"/>
    </row>
    <row r="1065" spans="1:41" x14ac:dyDescent="0.4">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c r="AJ1065" s="15"/>
      <c r="AK1065" s="15"/>
      <c r="AL1065" s="15"/>
      <c r="AM1065" s="15"/>
      <c r="AN1065" s="15"/>
      <c r="AO1065" s="15"/>
    </row>
    <row r="1066" spans="1:41" x14ac:dyDescent="0.4">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5"/>
      <c r="AE1066" s="15"/>
      <c r="AF1066" s="15"/>
      <c r="AG1066" s="15"/>
      <c r="AH1066" s="15"/>
      <c r="AI1066" s="15"/>
      <c r="AJ1066" s="15"/>
      <c r="AK1066" s="15"/>
      <c r="AL1066" s="15"/>
      <c r="AM1066" s="15"/>
      <c r="AN1066" s="15"/>
      <c r="AO1066" s="15"/>
    </row>
    <row r="1067" spans="1:41" x14ac:dyDescent="0.4">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c r="AB1067" s="15"/>
      <c r="AC1067" s="15"/>
      <c r="AD1067" s="15"/>
      <c r="AE1067" s="15"/>
      <c r="AF1067" s="15"/>
      <c r="AG1067" s="15"/>
      <c r="AH1067" s="15"/>
      <c r="AI1067" s="15"/>
      <c r="AJ1067" s="15"/>
      <c r="AK1067" s="15"/>
      <c r="AL1067" s="15"/>
      <c r="AM1067" s="15"/>
      <c r="AN1067" s="15"/>
      <c r="AO1067" s="15"/>
    </row>
    <row r="1068" spans="1:41" x14ac:dyDescent="0.4">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15"/>
      <c r="AF1068" s="15"/>
      <c r="AG1068" s="15"/>
      <c r="AH1068" s="15"/>
      <c r="AI1068" s="15"/>
      <c r="AJ1068" s="15"/>
      <c r="AK1068" s="15"/>
      <c r="AL1068" s="15"/>
      <c r="AM1068" s="15"/>
      <c r="AN1068" s="15"/>
      <c r="AO1068" s="15"/>
    </row>
    <row r="1069" spans="1:41" x14ac:dyDescent="0.4">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5"/>
      <c r="AE1069" s="15"/>
      <c r="AF1069" s="15"/>
      <c r="AG1069" s="15"/>
      <c r="AH1069" s="15"/>
      <c r="AI1069" s="15"/>
      <c r="AJ1069" s="15"/>
      <c r="AK1069" s="15"/>
      <c r="AL1069" s="15"/>
      <c r="AM1069" s="15"/>
      <c r="AN1069" s="15"/>
      <c r="AO1069" s="15"/>
    </row>
    <row r="1070" spans="1:41" x14ac:dyDescent="0.4">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5"/>
      <c r="AE1070" s="15"/>
      <c r="AF1070" s="15"/>
      <c r="AG1070" s="15"/>
      <c r="AH1070" s="15"/>
      <c r="AI1070" s="15"/>
      <c r="AJ1070" s="15"/>
      <c r="AK1070" s="15"/>
      <c r="AL1070" s="15"/>
      <c r="AM1070" s="15"/>
      <c r="AN1070" s="15"/>
      <c r="AO1070" s="15"/>
    </row>
    <row r="1071" spans="1:41" x14ac:dyDescent="0.4">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c r="AJ1071" s="15"/>
      <c r="AK1071" s="15"/>
      <c r="AL1071" s="15"/>
      <c r="AM1071" s="15"/>
      <c r="AN1071" s="15"/>
      <c r="AO1071" s="15"/>
    </row>
    <row r="1072" spans="1:41" x14ac:dyDescent="0.4">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c r="AB1072" s="15"/>
      <c r="AC1072" s="15"/>
      <c r="AD1072" s="15"/>
      <c r="AE1072" s="15"/>
      <c r="AF1072" s="15"/>
      <c r="AG1072" s="15"/>
      <c r="AH1072" s="15"/>
      <c r="AI1072" s="15"/>
      <c r="AJ1072" s="15"/>
      <c r="AK1072" s="15"/>
      <c r="AL1072" s="15"/>
      <c r="AM1072" s="15"/>
      <c r="AN1072" s="15"/>
      <c r="AO1072" s="15"/>
    </row>
    <row r="1073" spans="1:41" x14ac:dyDescent="0.4">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c r="AJ1073" s="15"/>
      <c r="AK1073" s="15"/>
      <c r="AL1073" s="15"/>
      <c r="AM1073" s="15"/>
      <c r="AN1073" s="15"/>
      <c r="AO1073" s="15"/>
    </row>
    <row r="1074" spans="1:41" x14ac:dyDescent="0.4">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5"/>
      <c r="AE1074" s="15"/>
      <c r="AF1074" s="15"/>
      <c r="AG1074" s="15"/>
      <c r="AH1074" s="15"/>
      <c r="AI1074" s="15"/>
      <c r="AJ1074" s="15"/>
      <c r="AK1074" s="15"/>
      <c r="AL1074" s="15"/>
      <c r="AM1074" s="15"/>
      <c r="AN1074" s="15"/>
      <c r="AO1074" s="15"/>
    </row>
    <row r="1075" spans="1:41" x14ac:dyDescent="0.4">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c r="AB1075" s="15"/>
      <c r="AC1075" s="15"/>
      <c r="AD1075" s="15"/>
      <c r="AE1075" s="15"/>
      <c r="AF1075" s="15"/>
      <c r="AG1075" s="15"/>
      <c r="AH1075" s="15"/>
      <c r="AI1075" s="15"/>
      <c r="AJ1075" s="15"/>
      <c r="AK1075" s="15"/>
      <c r="AL1075" s="15"/>
      <c r="AM1075" s="15"/>
      <c r="AN1075" s="15"/>
      <c r="AO1075" s="15"/>
    </row>
    <row r="1076" spans="1:41" x14ac:dyDescent="0.4">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row>
    <row r="1077" spans="1:41" x14ac:dyDescent="0.4">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c r="AJ1077" s="15"/>
      <c r="AK1077" s="15"/>
      <c r="AL1077" s="15"/>
      <c r="AM1077" s="15"/>
      <c r="AN1077" s="15"/>
      <c r="AO1077" s="15"/>
    </row>
    <row r="1078" spans="1:41" x14ac:dyDescent="0.4">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c r="AJ1078" s="15"/>
      <c r="AK1078" s="15"/>
      <c r="AL1078" s="15"/>
      <c r="AM1078" s="15"/>
      <c r="AN1078" s="15"/>
      <c r="AO1078" s="15"/>
    </row>
    <row r="1079" spans="1:41" x14ac:dyDescent="0.4">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c r="AC1079" s="15"/>
      <c r="AD1079" s="15"/>
      <c r="AE1079" s="15"/>
      <c r="AF1079" s="15"/>
      <c r="AG1079" s="15"/>
      <c r="AH1079" s="15"/>
      <c r="AI1079" s="15"/>
      <c r="AJ1079" s="15"/>
      <c r="AK1079" s="15"/>
      <c r="AL1079" s="15"/>
      <c r="AM1079" s="15"/>
      <c r="AN1079" s="15"/>
      <c r="AO1079" s="15"/>
    </row>
    <row r="1080" spans="1:41" x14ac:dyDescent="0.4">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c r="AJ1080" s="15"/>
      <c r="AK1080" s="15"/>
      <c r="AL1080" s="15"/>
      <c r="AM1080" s="15"/>
      <c r="AN1080" s="15"/>
      <c r="AO1080" s="15"/>
    </row>
    <row r="1081" spans="1:41" x14ac:dyDescent="0.4">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c r="AB1081" s="15"/>
      <c r="AC1081" s="15"/>
      <c r="AD1081" s="15"/>
      <c r="AE1081" s="15"/>
      <c r="AF1081" s="15"/>
      <c r="AG1081" s="15"/>
      <c r="AH1081" s="15"/>
      <c r="AI1081" s="15"/>
      <c r="AJ1081" s="15"/>
      <c r="AK1081" s="15"/>
      <c r="AL1081" s="15"/>
      <c r="AM1081" s="15"/>
      <c r="AN1081" s="15"/>
      <c r="AO1081" s="15"/>
    </row>
    <row r="1082" spans="1:41" x14ac:dyDescent="0.4">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c r="AJ1082" s="15"/>
      <c r="AK1082" s="15"/>
      <c r="AL1082" s="15"/>
      <c r="AM1082" s="15"/>
      <c r="AN1082" s="15"/>
      <c r="AO1082" s="15"/>
    </row>
    <row r="1083" spans="1:41" x14ac:dyDescent="0.4">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row>
    <row r="1084" spans="1:41" x14ac:dyDescent="0.4">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c r="AJ1084" s="15"/>
      <c r="AK1084" s="15"/>
      <c r="AL1084" s="15"/>
      <c r="AM1084" s="15"/>
      <c r="AN1084" s="15"/>
      <c r="AO1084" s="15"/>
    </row>
    <row r="1085" spans="1:41" x14ac:dyDescent="0.4">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row>
    <row r="1086" spans="1:41" x14ac:dyDescent="0.4">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5"/>
      <c r="AE1086" s="15"/>
      <c r="AF1086" s="15"/>
      <c r="AG1086" s="15"/>
      <c r="AH1086" s="15"/>
      <c r="AI1086" s="15"/>
      <c r="AJ1086" s="15"/>
      <c r="AK1086" s="15"/>
      <c r="AL1086" s="15"/>
      <c r="AM1086" s="15"/>
      <c r="AN1086" s="15"/>
      <c r="AO1086" s="15"/>
    </row>
    <row r="1087" spans="1:41" x14ac:dyDescent="0.4">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c r="AJ1087" s="15"/>
      <c r="AK1087" s="15"/>
      <c r="AL1087" s="15"/>
      <c r="AM1087" s="15"/>
      <c r="AN1087" s="15"/>
      <c r="AO1087" s="15"/>
    </row>
    <row r="1088" spans="1:41" x14ac:dyDescent="0.4">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row>
    <row r="1089" spans="1:41" x14ac:dyDescent="0.4">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c r="AB1089" s="15"/>
      <c r="AC1089" s="15"/>
      <c r="AD1089" s="15"/>
      <c r="AE1089" s="15"/>
      <c r="AF1089" s="15"/>
      <c r="AG1089" s="15"/>
      <c r="AH1089" s="15"/>
      <c r="AI1089" s="15"/>
      <c r="AJ1089" s="15"/>
      <c r="AK1089" s="15"/>
      <c r="AL1089" s="15"/>
      <c r="AM1089" s="15"/>
      <c r="AN1089" s="15"/>
      <c r="AO1089" s="15"/>
    </row>
    <row r="1090" spans="1:41" x14ac:dyDescent="0.4">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5"/>
      <c r="AE1090" s="15"/>
      <c r="AF1090" s="15"/>
      <c r="AG1090" s="15"/>
      <c r="AH1090" s="15"/>
      <c r="AI1090" s="15"/>
      <c r="AJ1090" s="15"/>
      <c r="AK1090" s="15"/>
      <c r="AL1090" s="15"/>
      <c r="AM1090" s="15"/>
      <c r="AN1090" s="15"/>
      <c r="AO1090" s="15"/>
    </row>
    <row r="1091" spans="1:41" x14ac:dyDescent="0.4">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row>
    <row r="1092" spans="1:41" x14ac:dyDescent="0.4">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c r="AJ1092" s="15"/>
      <c r="AK1092" s="15"/>
      <c r="AL1092" s="15"/>
      <c r="AM1092" s="15"/>
      <c r="AN1092" s="15"/>
      <c r="AO1092" s="15"/>
    </row>
    <row r="1093" spans="1:41" x14ac:dyDescent="0.4">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c r="AC1093" s="15"/>
      <c r="AD1093" s="15"/>
      <c r="AE1093" s="15"/>
      <c r="AF1093" s="15"/>
      <c r="AG1093" s="15"/>
      <c r="AH1093" s="15"/>
      <c r="AI1093" s="15"/>
      <c r="AJ1093" s="15"/>
      <c r="AK1093" s="15"/>
      <c r="AL1093" s="15"/>
      <c r="AM1093" s="15"/>
      <c r="AN1093" s="15"/>
      <c r="AO1093" s="15"/>
    </row>
    <row r="1094" spans="1:41" x14ac:dyDescent="0.4">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row>
    <row r="1095" spans="1:41" x14ac:dyDescent="0.4">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c r="AJ1095" s="15"/>
      <c r="AK1095" s="15"/>
      <c r="AL1095" s="15"/>
      <c r="AM1095" s="15"/>
      <c r="AN1095" s="15"/>
      <c r="AO1095" s="15"/>
    </row>
    <row r="1096" spans="1:41" x14ac:dyDescent="0.4">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c r="AB1096" s="15"/>
      <c r="AC1096" s="15"/>
      <c r="AD1096" s="15"/>
      <c r="AE1096" s="15"/>
      <c r="AF1096" s="15"/>
      <c r="AG1096" s="15"/>
      <c r="AH1096" s="15"/>
      <c r="AI1096" s="15"/>
      <c r="AJ1096" s="15"/>
      <c r="AK1096" s="15"/>
      <c r="AL1096" s="15"/>
      <c r="AM1096" s="15"/>
      <c r="AN1096" s="15"/>
      <c r="AO1096" s="15"/>
    </row>
    <row r="1097" spans="1:41" x14ac:dyDescent="0.4">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c r="AB1097" s="15"/>
      <c r="AC1097" s="15"/>
      <c r="AD1097" s="15"/>
      <c r="AE1097" s="15"/>
      <c r="AF1097" s="15"/>
      <c r="AG1097" s="15"/>
      <c r="AH1097" s="15"/>
      <c r="AI1097" s="15"/>
      <c r="AJ1097" s="15"/>
      <c r="AK1097" s="15"/>
      <c r="AL1097" s="15"/>
      <c r="AM1097" s="15"/>
      <c r="AN1097" s="15"/>
      <c r="AO1097" s="15"/>
    </row>
    <row r="1098" spans="1:41" x14ac:dyDescent="0.4">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c r="AJ1098" s="15"/>
      <c r="AK1098" s="15"/>
      <c r="AL1098" s="15"/>
      <c r="AM1098" s="15"/>
      <c r="AN1098" s="15"/>
      <c r="AO1098" s="15"/>
    </row>
    <row r="1099" spans="1:41" x14ac:dyDescent="0.4">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c r="AJ1099" s="15"/>
      <c r="AK1099" s="15"/>
      <c r="AL1099" s="15"/>
      <c r="AM1099" s="15"/>
      <c r="AN1099" s="15"/>
      <c r="AO1099" s="15"/>
    </row>
    <row r="1100" spans="1:41" x14ac:dyDescent="0.4">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c r="AB1100" s="15"/>
      <c r="AC1100" s="15"/>
      <c r="AD1100" s="15"/>
      <c r="AE1100" s="15"/>
      <c r="AF1100" s="15"/>
      <c r="AG1100" s="15"/>
      <c r="AH1100" s="15"/>
      <c r="AI1100" s="15"/>
      <c r="AJ1100" s="15"/>
      <c r="AK1100" s="15"/>
      <c r="AL1100" s="15"/>
      <c r="AM1100" s="15"/>
      <c r="AN1100" s="15"/>
      <c r="AO1100" s="15"/>
    </row>
    <row r="1101" spans="1:41" x14ac:dyDescent="0.4">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5"/>
      <c r="AE1101" s="15"/>
      <c r="AF1101" s="15"/>
      <c r="AG1101" s="15"/>
      <c r="AH1101" s="15"/>
      <c r="AI1101" s="15"/>
      <c r="AJ1101" s="15"/>
      <c r="AK1101" s="15"/>
      <c r="AL1101" s="15"/>
      <c r="AM1101" s="15"/>
      <c r="AN1101" s="15"/>
      <c r="AO1101" s="15"/>
    </row>
    <row r="1102" spans="1:41" x14ac:dyDescent="0.4">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c r="AJ1102" s="15"/>
      <c r="AK1102" s="15"/>
      <c r="AL1102" s="15"/>
      <c r="AM1102" s="15"/>
      <c r="AN1102" s="15"/>
      <c r="AO1102" s="15"/>
    </row>
    <row r="1103" spans="1:41" x14ac:dyDescent="0.4">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row>
  </sheetData>
  <mergeCells count="7">
    <mergeCell ref="A75:I75"/>
    <mergeCell ref="A92:I92"/>
    <mergeCell ref="A1:I1"/>
    <mergeCell ref="A15:I15"/>
    <mergeCell ref="A29:I29"/>
    <mergeCell ref="A43:I43"/>
    <mergeCell ref="A59:I59"/>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144"/>
  <sheetViews>
    <sheetView topLeftCell="A64" zoomScale="135" zoomScaleNormal="135" workbookViewId="0">
      <selection activeCell="F84" sqref="F84"/>
    </sheetView>
  </sheetViews>
  <sheetFormatPr defaultColWidth="8.69140625" defaultRowHeight="14.6" x14ac:dyDescent="0.4"/>
  <cols>
    <col min="1" max="1" width="24.84375" customWidth="1"/>
    <col min="2" max="2" width="22.84375" customWidth="1"/>
    <col min="3" max="3" width="19.3828125" customWidth="1"/>
    <col min="4" max="5" width="12.23046875" customWidth="1"/>
    <col min="6" max="6" width="12.3828125" customWidth="1"/>
    <col min="7" max="7" width="18.3828125" customWidth="1"/>
    <col min="8" max="8" width="17.23046875" customWidth="1"/>
    <col min="9" max="9" width="11" customWidth="1"/>
    <col min="10" max="10" width="12.15234375" customWidth="1"/>
    <col min="16" max="16" width="16.23046875" customWidth="1"/>
    <col min="17" max="17" width="10.69140625" customWidth="1"/>
    <col min="19" max="19" width="12.23046875" customWidth="1"/>
    <col min="20" max="20" width="10.23046875" customWidth="1"/>
    <col min="21" max="21" width="9.69140625" customWidth="1"/>
    <col min="22" max="22" width="10.15234375" customWidth="1"/>
    <col min="23" max="23" width="13.69140625" customWidth="1"/>
    <col min="28" max="28" width="17.07421875" customWidth="1"/>
    <col min="29" max="29" width="21.23046875" customWidth="1"/>
  </cols>
  <sheetData>
    <row r="1" spans="1:57" ht="15" customHeight="1" x14ac:dyDescent="0.4">
      <c r="A1" s="212" t="s">
        <v>436</v>
      </c>
      <c r="B1" s="212"/>
      <c r="C1" s="212"/>
      <c r="D1" s="212"/>
      <c r="E1" s="212"/>
      <c r="F1" s="212"/>
      <c r="G1" s="212"/>
      <c r="J1" s="47"/>
      <c r="K1" s="47"/>
      <c r="AL1" s="47"/>
      <c r="AM1" s="47"/>
      <c r="AN1" s="47"/>
      <c r="AO1" s="47"/>
      <c r="AP1" s="47"/>
      <c r="AQ1" s="47"/>
    </row>
    <row r="2" spans="1:57" ht="15" customHeight="1" x14ac:dyDescent="0.4">
      <c r="J2" s="47"/>
      <c r="K2" s="47"/>
      <c r="AL2" s="47"/>
      <c r="AM2" s="47"/>
      <c r="AN2" s="47"/>
      <c r="AO2" s="47"/>
      <c r="AP2" s="47"/>
      <c r="AQ2" s="47"/>
    </row>
    <row r="3" spans="1:57" ht="15" customHeight="1" x14ac:dyDescent="0.4">
      <c r="A3" s="18" t="s">
        <v>375</v>
      </c>
      <c r="B3" s="108" t="s">
        <v>376</v>
      </c>
      <c r="C3" s="108"/>
      <c r="D3" s="108"/>
      <c r="E3" s="108"/>
      <c r="F3" s="108"/>
      <c r="G3" s="6"/>
      <c r="H3" s="4"/>
      <c r="I3" s="109"/>
      <c r="J3" s="110" t="s">
        <v>437</v>
      </c>
      <c r="K3" s="110"/>
      <c r="AL3" s="47"/>
      <c r="AM3" s="47"/>
      <c r="AN3" s="47"/>
      <c r="AO3" s="47"/>
      <c r="AP3" s="47"/>
      <c r="AQ3" s="47"/>
    </row>
    <row r="4" spans="1:57" ht="15" customHeight="1" x14ac:dyDescent="0.4">
      <c r="A4" s="9"/>
      <c r="B4" s="35"/>
      <c r="C4" s="35"/>
      <c r="D4" s="35"/>
      <c r="E4" s="35"/>
      <c r="F4" s="35"/>
      <c r="G4" s="41"/>
      <c r="H4" s="9" t="s">
        <v>438</v>
      </c>
      <c r="I4" s="41"/>
      <c r="J4" s="111">
        <f>(D6+D7+D8+D10+D11)/D14</f>
        <v>13.795694068051793</v>
      </c>
      <c r="K4" s="111"/>
      <c r="AL4" s="47"/>
      <c r="AM4" s="47"/>
      <c r="AN4" s="47"/>
      <c r="AO4" s="47"/>
      <c r="AP4" s="47"/>
      <c r="AQ4" s="47"/>
    </row>
    <row r="5" spans="1:57" ht="15" customHeight="1" x14ac:dyDescent="0.4">
      <c r="A5" s="112" t="s">
        <v>378</v>
      </c>
      <c r="B5" s="35" t="s">
        <v>379</v>
      </c>
      <c r="C5" s="35" t="s">
        <v>380</v>
      </c>
      <c r="D5" s="35" t="s">
        <v>382</v>
      </c>
      <c r="E5" s="35" t="s">
        <v>380</v>
      </c>
      <c r="F5" s="35" t="s">
        <v>383</v>
      </c>
      <c r="G5" s="41" t="s">
        <v>384</v>
      </c>
      <c r="H5" s="86" t="s">
        <v>439</v>
      </c>
      <c r="I5" s="41">
        <f>SUM(G6,G7)</f>
        <v>0</v>
      </c>
      <c r="J5" s="111"/>
      <c r="K5" s="111"/>
      <c r="AL5" s="47"/>
      <c r="AM5" s="47"/>
      <c r="AN5" s="47"/>
      <c r="AO5" s="47"/>
      <c r="AP5" s="47"/>
      <c r="AQ5" s="47"/>
    </row>
    <row r="6" spans="1:57" ht="15" customHeight="1" x14ac:dyDescent="0.4">
      <c r="A6" s="113" t="s">
        <v>440</v>
      </c>
      <c r="B6" s="114">
        <v>1.3</v>
      </c>
      <c r="C6" s="2" t="s">
        <v>279</v>
      </c>
      <c r="D6" s="63">
        <f>($D$14/$B$14)*B6</f>
        <v>0.95588706833796144</v>
      </c>
      <c r="E6" s="35" t="s">
        <v>279</v>
      </c>
      <c r="F6" s="59">
        <f>'B.4. Precursors'!$G$6</f>
        <v>0</v>
      </c>
      <c r="G6" s="61">
        <f>F6*D6</f>
        <v>0</v>
      </c>
      <c r="H6" s="9" t="s">
        <v>441</v>
      </c>
      <c r="I6" s="41">
        <v>0</v>
      </c>
      <c r="J6" s="111"/>
      <c r="K6" s="111"/>
      <c r="AL6" s="47"/>
      <c r="AM6" s="47"/>
      <c r="AN6" s="47"/>
      <c r="AO6" s="47"/>
      <c r="AP6" s="47"/>
      <c r="AQ6" s="47"/>
    </row>
    <row r="7" spans="1:57" ht="15" customHeight="1" x14ac:dyDescent="0.4">
      <c r="A7" s="113" t="s">
        <v>442</v>
      </c>
      <c r="B7" s="114">
        <v>1.17</v>
      </c>
      <c r="C7" s="2" t="s">
        <v>279</v>
      </c>
      <c r="D7" s="63">
        <f>($D$14/$B$14)*B7</f>
        <v>0.86029836150416517</v>
      </c>
      <c r="E7" s="35" t="s">
        <v>279</v>
      </c>
      <c r="F7" s="59">
        <f>'A. Databases'!$H$21</f>
        <v>0</v>
      </c>
      <c r="G7" s="61">
        <f>F7*D7</f>
        <v>0</v>
      </c>
      <c r="H7" s="86" t="s">
        <v>443</v>
      </c>
      <c r="I7" s="41">
        <f>G8</f>
        <v>0</v>
      </c>
      <c r="J7" s="111"/>
      <c r="K7" s="111"/>
      <c r="AL7" s="47"/>
      <c r="AM7" s="47"/>
      <c r="AN7" s="47"/>
      <c r="AO7" s="47"/>
      <c r="AP7" s="47"/>
      <c r="AQ7" s="47"/>
      <c r="AR7" s="47"/>
      <c r="AS7" s="47"/>
      <c r="AT7" s="47"/>
      <c r="AU7" s="47"/>
      <c r="AV7" s="47"/>
      <c r="AW7" s="47"/>
      <c r="AX7" s="47"/>
      <c r="AY7" s="47"/>
      <c r="AZ7" s="47"/>
      <c r="BA7" s="47"/>
      <c r="BB7" s="47"/>
      <c r="BC7" s="47"/>
      <c r="BD7" s="47"/>
      <c r="BE7" s="47"/>
    </row>
    <row r="8" spans="1:57" ht="15" customHeight="1" x14ac:dyDescent="0.4">
      <c r="A8" s="113" t="s">
        <v>444</v>
      </c>
      <c r="B8" s="114">
        <v>2.6200000000000001E-2</v>
      </c>
      <c r="C8" s="2" t="s">
        <v>279</v>
      </c>
      <c r="D8" s="63">
        <f>($D$14/$B$14)*B8</f>
        <v>1.9264800915734299E-2</v>
      </c>
      <c r="E8" s="63" t="s">
        <v>279</v>
      </c>
      <c r="F8" s="59">
        <f>'B.3. Pd Catalyst'!$F$44</f>
        <v>0</v>
      </c>
      <c r="G8" s="61">
        <f>F8*D8</f>
        <v>0</v>
      </c>
      <c r="H8" s="86" t="s">
        <v>445</v>
      </c>
      <c r="I8" s="41">
        <f>SUM(G10:G11)</f>
        <v>0</v>
      </c>
      <c r="J8" s="111"/>
      <c r="K8" s="111"/>
      <c r="AL8" s="47"/>
      <c r="AM8" s="47"/>
      <c r="AN8" s="47"/>
      <c r="AO8" s="47"/>
      <c r="AP8" s="47"/>
      <c r="AQ8" s="47"/>
      <c r="AR8" s="47"/>
      <c r="AS8" s="47"/>
      <c r="AT8" s="47"/>
      <c r="AU8" s="47"/>
      <c r="AV8" s="47"/>
      <c r="AW8" s="47"/>
      <c r="AX8" s="47"/>
      <c r="AY8" s="47"/>
      <c r="AZ8" s="47"/>
      <c r="BA8" s="47"/>
      <c r="BB8" s="47"/>
      <c r="BC8" s="47"/>
      <c r="BD8" s="47"/>
      <c r="BE8" s="47"/>
    </row>
    <row r="9" spans="1:57" ht="15" customHeight="1" x14ac:dyDescent="0.4">
      <c r="A9" s="112" t="s">
        <v>392</v>
      </c>
      <c r="B9" s="35" t="s">
        <v>379</v>
      </c>
      <c r="C9" s="35" t="s">
        <v>380</v>
      </c>
      <c r="D9" s="63" t="s">
        <v>382</v>
      </c>
      <c r="E9" s="35" t="s">
        <v>380</v>
      </c>
      <c r="F9" s="59"/>
      <c r="G9" s="61"/>
      <c r="H9" s="9"/>
      <c r="I9" s="41"/>
      <c r="J9" s="111"/>
      <c r="K9" s="111"/>
      <c r="AL9" s="47"/>
      <c r="AM9" s="47"/>
      <c r="AN9" s="47"/>
      <c r="AO9" s="47"/>
      <c r="AP9" s="47"/>
      <c r="AQ9" s="47"/>
      <c r="AR9" s="47"/>
      <c r="AS9" s="47"/>
      <c r="AT9" s="47"/>
      <c r="AU9" s="47"/>
      <c r="AV9" s="47"/>
      <c r="AW9" s="47"/>
      <c r="AX9" s="47"/>
      <c r="AY9" s="47"/>
      <c r="AZ9" s="47"/>
      <c r="BA9" s="47"/>
      <c r="BB9" s="47"/>
      <c r="BC9" s="47"/>
      <c r="BD9" s="47"/>
      <c r="BE9" s="47"/>
    </row>
    <row r="10" spans="1:57" ht="15" customHeight="1" x14ac:dyDescent="0.4">
      <c r="A10" s="81" t="s">
        <v>446</v>
      </c>
      <c r="B10" s="63">
        <v>9.0500000000000007</v>
      </c>
      <c r="C10" s="63" t="s">
        <v>279</v>
      </c>
      <c r="D10" s="63">
        <f>($D$14/$B$14)*B10</f>
        <v>6.6544445911219627</v>
      </c>
      <c r="E10" s="63" t="s">
        <v>279</v>
      </c>
      <c r="F10" s="64">
        <f>'A. Databases'!$H$35</f>
        <v>0</v>
      </c>
      <c r="G10" s="66">
        <f>F10*D10</f>
        <v>0</v>
      </c>
      <c r="H10" s="9"/>
      <c r="I10" s="41"/>
      <c r="J10" s="111"/>
      <c r="K10" s="111"/>
      <c r="AL10" s="47"/>
      <c r="AM10" s="47"/>
      <c r="AN10" s="47"/>
      <c r="AO10" s="47"/>
      <c r="AP10" s="47"/>
      <c r="AQ10" s="47"/>
      <c r="AR10" s="47"/>
      <c r="AS10" s="47"/>
      <c r="AT10" s="47"/>
      <c r="AU10" s="47"/>
      <c r="AV10" s="47"/>
      <c r="AW10" s="47"/>
      <c r="AX10" s="47"/>
      <c r="AY10" s="47"/>
      <c r="AZ10" s="47"/>
      <c r="BA10" s="47"/>
      <c r="BB10" s="47"/>
      <c r="BC10" s="47"/>
      <c r="BD10" s="47"/>
      <c r="BE10" s="47"/>
    </row>
    <row r="11" spans="1:57" ht="15" customHeight="1" x14ac:dyDescent="0.4">
      <c r="A11" s="81" t="s">
        <v>446</v>
      </c>
      <c r="B11" s="63">
        <v>6.78</v>
      </c>
      <c r="C11" s="63" t="s">
        <v>279</v>
      </c>
      <c r="D11" s="63">
        <f>($D$14/$B$14)*B11</f>
        <v>4.9853187102549068</v>
      </c>
      <c r="E11" s="63" t="s">
        <v>279</v>
      </c>
      <c r="F11" s="64">
        <f>'A. Databases'!$H$35</f>
        <v>0</v>
      </c>
      <c r="G11" s="66">
        <f>F11*D11</f>
        <v>0</v>
      </c>
      <c r="H11" s="9"/>
      <c r="I11" s="41"/>
      <c r="J11" s="111"/>
      <c r="K11" s="111"/>
      <c r="AL11" s="47"/>
      <c r="AM11" s="47"/>
      <c r="AN11" s="47"/>
      <c r="AO11" s="47"/>
      <c r="AP11" s="47"/>
      <c r="AQ11" s="47"/>
      <c r="AR11" s="47"/>
      <c r="AS11" s="47"/>
      <c r="AT11" s="47"/>
      <c r="AU11" s="47"/>
      <c r="AV11" s="47"/>
      <c r="AW11" s="47"/>
      <c r="AX11" s="47"/>
      <c r="AY11" s="47"/>
      <c r="AZ11" s="47"/>
      <c r="BA11" s="47"/>
      <c r="BB11" s="47"/>
      <c r="BC11" s="47"/>
      <c r="BD11" s="47"/>
      <c r="BE11" s="47"/>
    </row>
    <row r="12" spans="1:57" ht="15" customHeight="1" x14ac:dyDescent="0.4">
      <c r="A12" s="86"/>
      <c r="B12" s="63"/>
      <c r="C12" s="63"/>
      <c r="D12" s="63"/>
      <c r="E12" s="63"/>
      <c r="F12" s="64"/>
      <c r="G12" s="66"/>
      <c r="H12" s="9"/>
      <c r="I12" s="41"/>
      <c r="J12" s="111"/>
      <c r="K12" s="111"/>
      <c r="AL12" s="47"/>
      <c r="AM12" s="47"/>
      <c r="AN12" s="47"/>
      <c r="AO12" s="47"/>
      <c r="AP12" s="47"/>
      <c r="AQ12" s="47"/>
      <c r="AR12" s="47"/>
      <c r="AS12" s="47"/>
      <c r="AT12" s="47"/>
      <c r="AU12" s="47"/>
      <c r="AV12" s="47"/>
      <c r="AW12" s="47"/>
      <c r="AX12" s="47"/>
      <c r="AY12" s="47"/>
      <c r="AZ12" s="47"/>
      <c r="BA12" s="47"/>
      <c r="BB12" s="47"/>
      <c r="BC12" s="47"/>
      <c r="BD12" s="47"/>
      <c r="BE12" s="47"/>
    </row>
    <row r="13" spans="1:57" ht="15" customHeight="1" x14ac:dyDescent="0.4">
      <c r="A13" s="115" t="s">
        <v>396</v>
      </c>
      <c r="B13" s="63" t="s">
        <v>379</v>
      </c>
      <c r="C13" s="63" t="s">
        <v>380</v>
      </c>
      <c r="D13" s="63" t="s">
        <v>382</v>
      </c>
      <c r="E13" s="63" t="s">
        <v>380</v>
      </c>
      <c r="F13" s="64"/>
      <c r="G13" s="66"/>
      <c r="H13" s="9"/>
      <c r="I13" s="41"/>
      <c r="J13" s="111"/>
      <c r="K13" s="111"/>
      <c r="AL13" s="47"/>
      <c r="AM13" s="47"/>
      <c r="AN13" s="47"/>
      <c r="AO13" s="47"/>
      <c r="AP13" s="47"/>
      <c r="AQ13" s="47"/>
      <c r="AR13" s="47"/>
      <c r="AS13" s="47"/>
      <c r="AT13" s="47"/>
      <c r="AU13" s="47"/>
      <c r="AV13" s="47"/>
      <c r="AW13" s="47"/>
      <c r="AX13" s="47"/>
      <c r="AY13" s="47"/>
      <c r="AZ13" s="47"/>
      <c r="BA13" s="47"/>
      <c r="BB13" s="47"/>
      <c r="BC13" s="47"/>
      <c r="BD13" s="47"/>
      <c r="BE13" s="47"/>
    </row>
    <row r="14" spans="1:57" ht="15" customHeight="1" x14ac:dyDescent="0.4">
      <c r="A14" s="73">
        <v>15</v>
      </c>
      <c r="B14" s="74">
        <v>1.3284</v>
      </c>
      <c r="C14" s="74" t="s">
        <v>279</v>
      </c>
      <c r="D14" s="74">
        <f>D22</f>
        <v>0.97676952429242148</v>
      </c>
      <c r="E14" s="74" t="s">
        <v>279</v>
      </c>
      <c r="F14" s="75">
        <f>G14/D14</f>
        <v>0</v>
      </c>
      <c r="G14" s="78">
        <f>SUM(G6,G7,G8,G10,G11)</f>
        <v>0</v>
      </c>
      <c r="H14" s="24"/>
      <c r="I14" s="45"/>
      <c r="J14" s="111"/>
      <c r="K14" s="111"/>
      <c r="AL14" s="47"/>
      <c r="AM14" s="47"/>
      <c r="AN14" s="47"/>
      <c r="AO14" s="47"/>
      <c r="AP14" s="47"/>
      <c r="AQ14" s="47"/>
      <c r="AR14" s="47"/>
      <c r="AS14" s="47"/>
      <c r="AT14" s="47"/>
      <c r="AU14" s="47"/>
      <c r="AV14" s="47"/>
      <c r="AW14" s="47"/>
      <c r="AX14" s="47"/>
      <c r="AY14" s="47"/>
      <c r="AZ14" s="47"/>
      <c r="BA14" s="47"/>
      <c r="BB14" s="47"/>
      <c r="BC14" s="47"/>
      <c r="BD14" s="47"/>
      <c r="BE14" s="47"/>
    </row>
    <row r="15" spans="1:57" ht="15" customHeight="1" x14ac:dyDescent="0.4">
      <c r="A15" s="210"/>
      <c r="B15" s="210"/>
      <c r="C15" s="210"/>
      <c r="D15" s="210"/>
      <c r="E15" s="210"/>
      <c r="F15" s="210"/>
      <c r="G15" s="210"/>
      <c r="H15" s="47"/>
      <c r="I15" s="47"/>
      <c r="J15" s="47"/>
      <c r="K15" s="47"/>
      <c r="AL15" s="47"/>
      <c r="AM15" s="47"/>
      <c r="AN15" s="47"/>
      <c r="AO15" s="47"/>
      <c r="AP15" s="47"/>
      <c r="AQ15" s="47"/>
      <c r="AR15" s="47"/>
      <c r="AS15" s="47"/>
      <c r="AT15" s="47"/>
      <c r="AU15" s="47"/>
      <c r="AV15" s="47"/>
      <c r="AW15" s="47"/>
      <c r="AX15" s="47"/>
      <c r="AY15" s="47"/>
      <c r="AZ15" s="47"/>
      <c r="BA15" s="47"/>
      <c r="BB15" s="47"/>
      <c r="BC15" s="47"/>
      <c r="BD15" s="47"/>
      <c r="BE15" s="47"/>
    </row>
    <row r="16" spans="1:57" ht="15" customHeight="1" x14ac:dyDescent="0.4">
      <c r="A16" s="116"/>
      <c r="B16" s="116"/>
      <c r="C16" s="116"/>
      <c r="D16" s="116"/>
      <c r="E16" s="116"/>
      <c r="F16" s="116"/>
      <c r="G16" s="116"/>
      <c r="H16" s="47"/>
      <c r="I16" s="47"/>
      <c r="J16" s="47"/>
      <c r="K16" s="47"/>
      <c r="AL16" s="47"/>
      <c r="AM16" s="47"/>
      <c r="AN16" s="47"/>
      <c r="AO16" s="47"/>
      <c r="AP16" s="47"/>
      <c r="AQ16" s="47"/>
      <c r="AR16" s="47"/>
      <c r="AS16" s="47"/>
      <c r="AT16" s="47"/>
      <c r="AU16" s="47"/>
      <c r="AV16" s="47"/>
      <c r="AW16" s="47"/>
      <c r="AX16" s="47"/>
      <c r="AY16" s="47"/>
      <c r="AZ16" s="47"/>
      <c r="BA16" s="47"/>
      <c r="BB16" s="47"/>
      <c r="BC16" s="47"/>
      <c r="BD16" s="47"/>
      <c r="BE16" s="47"/>
    </row>
    <row r="17" spans="1:67" ht="15" customHeight="1" x14ac:dyDescent="0.4">
      <c r="A17" s="116"/>
      <c r="B17" s="116"/>
      <c r="C17" s="116"/>
      <c r="D17" s="116"/>
      <c r="E17" s="116"/>
      <c r="F17" s="116"/>
      <c r="G17" s="116"/>
      <c r="H17" s="47"/>
      <c r="I17" s="47"/>
      <c r="J17" s="47"/>
      <c r="K17" s="47"/>
      <c r="AL17" s="47"/>
      <c r="AM17" s="47"/>
      <c r="AN17" s="47"/>
      <c r="AO17" s="47"/>
      <c r="AP17" s="47"/>
      <c r="AQ17" s="47"/>
      <c r="AR17" s="47"/>
      <c r="AS17" s="47"/>
      <c r="AT17" s="47"/>
      <c r="AU17" s="47"/>
      <c r="AV17" s="47"/>
      <c r="AW17" s="47"/>
      <c r="AX17" s="47"/>
      <c r="AY17" s="47"/>
      <c r="AZ17" s="47"/>
      <c r="BA17" s="47"/>
      <c r="BB17" s="47"/>
      <c r="BC17" s="47"/>
      <c r="BD17" s="47"/>
      <c r="BE17" s="47"/>
    </row>
    <row r="18" spans="1:67" ht="15" customHeight="1" x14ac:dyDescent="0.4">
      <c r="A18" s="47"/>
      <c r="B18" s="47"/>
      <c r="C18" s="47"/>
      <c r="D18" s="47"/>
      <c r="E18" s="47"/>
      <c r="F18" s="47"/>
      <c r="G18" s="47"/>
      <c r="H18" s="47"/>
      <c r="I18" s="47"/>
      <c r="J18" s="47"/>
      <c r="K18" s="47"/>
      <c r="AL18" s="47"/>
      <c r="AM18" s="47"/>
      <c r="AN18" s="47"/>
      <c r="AO18" s="47"/>
      <c r="AP18" s="47"/>
      <c r="AQ18" s="47"/>
      <c r="AR18" s="47"/>
      <c r="AS18" s="47"/>
      <c r="AT18" s="47"/>
      <c r="AU18" s="47"/>
      <c r="AV18" s="47"/>
      <c r="AW18" s="47"/>
      <c r="AX18" s="47"/>
      <c r="AY18" s="47"/>
      <c r="AZ18" s="47"/>
      <c r="BA18" s="47"/>
      <c r="BB18" s="47"/>
      <c r="BC18" s="47"/>
      <c r="BD18" s="47"/>
      <c r="BE18" s="47"/>
    </row>
    <row r="19" spans="1:67" ht="15" customHeight="1" x14ac:dyDescent="0.4">
      <c r="A19" s="117" t="s">
        <v>397</v>
      </c>
      <c r="B19" s="94" t="s">
        <v>398</v>
      </c>
      <c r="C19" s="94"/>
      <c r="D19" s="94"/>
      <c r="E19" s="94"/>
      <c r="F19" s="94"/>
      <c r="G19" s="118"/>
      <c r="H19" s="4"/>
      <c r="I19" s="109"/>
      <c r="J19" s="110" t="s">
        <v>437</v>
      </c>
      <c r="K19" s="110"/>
      <c r="AL19" s="47"/>
      <c r="AM19" s="47"/>
      <c r="AN19" s="47"/>
      <c r="AO19" s="47"/>
      <c r="AP19" s="47"/>
      <c r="AQ19" s="47"/>
      <c r="AR19" s="47"/>
      <c r="AS19" s="47"/>
      <c r="AT19" s="47"/>
      <c r="AU19" s="47"/>
      <c r="AV19" s="47"/>
      <c r="AW19" s="47"/>
      <c r="AX19" s="47"/>
      <c r="AY19" s="47"/>
      <c r="AZ19" s="47"/>
      <c r="BA19" s="47"/>
      <c r="BB19" s="47"/>
      <c r="BC19" s="47"/>
      <c r="BD19" s="47"/>
      <c r="BE19" s="47"/>
    </row>
    <row r="20" spans="1:67" ht="15" customHeight="1" x14ac:dyDescent="0.4">
      <c r="A20" s="86"/>
      <c r="B20" s="63"/>
      <c r="C20" s="63"/>
      <c r="D20" s="63"/>
      <c r="E20" s="63"/>
      <c r="F20" s="63"/>
      <c r="G20" s="70"/>
      <c r="H20" s="9" t="s">
        <v>438</v>
      </c>
      <c r="I20" s="41"/>
      <c r="J20" s="111">
        <f>(D22+D23+D24+D26+D27)/D30</f>
        <v>15.515802472126012</v>
      </c>
      <c r="K20" s="111"/>
      <c r="AL20" s="47"/>
      <c r="AM20" s="47"/>
      <c r="AN20" s="47"/>
      <c r="AO20" s="47"/>
      <c r="AP20" s="47"/>
      <c r="AQ20" s="47"/>
      <c r="AR20" s="47"/>
      <c r="AS20" s="47"/>
      <c r="AT20" s="47"/>
      <c r="AU20" s="47"/>
      <c r="AV20" s="47"/>
      <c r="AW20" s="47"/>
      <c r="AX20" s="47"/>
      <c r="AY20" s="47"/>
      <c r="AZ20" s="47"/>
      <c r="BA20" s="47"/>
      <c r="BB20" s="47"/>
      <c r="BC20" s="47"/>
      <c r="BD20" s="47"/>
      <c r="BE20" s="47"/>
    </row>
    <row r="21" spans="1:67" ht="15" customHeight="1" x14ac:dyDescent="0.4">
      <c r="A21" s="115" t="s">
        <v>378</v>
      </c>
      <c r="B21" s="63" t="s">
        <v>379</v>
      </c>
      <c r="C21" s="63" t="s">
        <v>380</v>
      </c>
      <c r="D21" s="63" t="s">
        <v>382</v>
      </c>
      <c r="E21" s="63" t="s">
        <v>380</v>
      </c>
      <c r="F21" s="63" t="s">
        <v>383</v>
      </c>
      <c r="G21" s="70" t="s">
        <v>384</v>
      </c>
      <c r="H21" s="86" t="s">
        <v>439</v>
      </c>
      <c r="I21" s="41">
        <f>G22</f>
        <v>0</v>
      </c>
      <c r="J21" s="111"/>
      <c r="K21" s="111"/>
      <c r="AL21" s="47"/>
      <c r="AM21" s="47"/>
      <c r="AN21" s="47"/>
      <c r="AO21" s="47"/>
      <c r="AP21" s="47"/>
      <c r="AQ21" s="47"/>
      <c r="AR21" s="47"/>
      <c r="AS21" s="47"/>
      <c r="AT21" s="47"/>
      <c r="AU21" s="47"/>
      <c r="AV21" s="47"/>
      <c r="AW21" s="47"/>
      <c r="AX21" s="47"/>
      <c r="AY21" s="47"/>
      <c r="AZ21" s="47"/>
      <c r="BA21" s="47"/>
      <c r="BB21" s="47"/>
      <c r="BC21" s="47"/>
      <c r="BD21" s="47"/>
      <c r="BE21" s="47"/>
    </row>
    <row r="22" spans="1:67" ht="15" customHeight="1" x14ac:dyDescent="0.4">
      <c r="A22" s="81">
        <v>15</v>
      </c>
      <c r="B22" s="63">
        <v>1.3038000000000001</v>
      </c>
      <c r="C22" s="63" t="s">
        <v>279</v>
      </c>
      <c r="D22" s="63">
        <f>($D$30/$B$30)*B22</f>
        <v>0.97676952429242148</v>
      </c>
      <c r="E22" s="63" t="s">
        <v>279</v>
      </c>
      <c r="F22" s="64">
        <f>$F$14</f>
        <v>0</v>
      </c>
      <c r="G22" s="66">
        <f>F22*D22</f>
        <v>0</v>
      </c>
      <c r="H22" s="9" t="s">
        <v>441</v>
      </c>
      <c r="I22" s="61">
        <f>G23+G24</f>
        <v>0</v>
      </c>
      <c r="J22" s="111"/>
      <c r="K22" s="111"/>
      <c r="AL22" s="47"/>
      <c r="AM22" s="47"/>
      <c r="AN22" s="47"/>
      <c r="AO22" s="47"/>
      <c r="AP22" s="47"/>
      <c r="AQ22" s="47"/>
      <c r="AR22" s="47"/>
      <c r="AS22" s="47"/>
      <c r="AT22" s="47"/>
      <c r="AU22" s="47"/>
      <c r="AV22" s="47"/>
      <c r="AW22" s="47"/>
      <c r="AX22" s="47"/>
      <c r="AY22" s="47"/>
      <c r="AZ22" s="47"/>
      <c r="BA22" s="47"/>
      <c r="BB22" s="47"/>
      <c r="BC22" s="47"/>
      <c r="BD22" s="47"/>
      <c r="BE22" s="47"/>
    </row>
    <row r="23" spans="1:67" ht="15" customHeight="1" x14ac:dyDescent="0.4">
      <c r="A23" s="81" t="s">
        <v>430</v>
      </c>
      <c r="B23" s="63">
        <v>1.42</v>
      </c>
      <c r="C23" s="63" t="s">
        <v>279</v>
      </c>
      <c r="D23" s="63">
        <f>($D$30/$B$30)*B23</f>
        <v>1.063823227868721</v>
      </c>
      <c r="E23" s="63" t="s">
        <v>279</v>
      </c>
      <c r="F23" s="64">
        <f>'A. Databases'!$H$54</f>
        <v>0</v>
      </c>
      <c r="G23" s="66">
        <f>F23*D23</f>
        <v>0</v>
      </c>
      <c r="H23" s="86" t="s">
        <v>443</v>
      </c>
      <c r="I23" s="41">
        <v>0</v>
      </c>
      <c r="J23" s="111"/>
      <c r="K23" s="111"/>
      <c r="AL23" s="47"/>
      <c r="AM23" s="47"/>
      <c r="AN23" s="47"/>
      <c r="AO23" s="47"/>
      <c r="AP23" s="47"/>
      <c r="AQ23" s="47"/>
      <c r="AR23" s="47"/>
      <c r="AS23" s="47"/>
      <c r="AT23" s="47"/>
      <c r="AU23" s="47"/>
      <c r="AV23" s="47"/>
      <c r="AW23" s="47"/>
      <c r="AX23" s="47"/>
      <c r="AY23" s="47"/>
      <c r="AZ23" s="47"/>
      <c r="BA23" s="47"/>
      <c r="BB23" s="47"/>
      <c r="BC23" s="47"/>
      <c r="BD23" s="47"/>
      <c r="BE23" s="47"/>
    </row>
    <row r="24" spans="1:67" ht="15" customHeight="1" x14ac:dyDescent="0.4">
      <c r="A24" s="81" t="s">
        <v>447</v>
      </c>
      <c r="B24" s="63">
        <v>1.3042281</v>
      </c>
      <c r="C24" s="63" t="s">
        <v>279</v>
      </c>
      <c r="D24" s="63">
        <f>($D$30/$B$30)*B24</f>
        <v>0.97709024452048521</v>
      </c>
      <c r="E24" s="63" t="s">
        <v>279</v>
      </c>
      <c r="F24" s="64">
        <f>'B.4. Precursors'!I119</f>
        <v>0</v>
      </c>
      <c r="G24" s="66">
        <f>F24*D24</f>
        <v>0</v>
      </c>
      <c r="H24" s="86" t="s">
        <v>445</v>
      </c>
      <c r="I24" s="41">
        <f>SUM(G26:G27)</f>
        <v>0</v>
      </c>
      <c r="J24" s="111"/>
      <c r="K24" s="111"/>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row>
    <row r="25" spans="1:67" ht="15" customHeight="1" x14ac:dyDescent="0.4">
      <c r="A25" s="115" t="s">
        <v>392</v>
      </c>
      <c r="B25" s="63" t="s">
        <v>379</v>
      </c>
      <c r="C25" s="63" t="s">
        <v>380</v>
      </c>
      <c r="D25" s="63" t="s">
        <v>382</v>
      </c>
      <c r="E25" s="63" t="s">
        <v>380</v>
      </c>
      <c r="F25" s="64"/>
      <c r="G25" s="66"/>
      <c r="H25" s="9"/>
      <c r="I25" s="41"/>
      <c r="J25" s="111"/>
      <c r="K25" s="111"/>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row>
    <row r="26" spans="1:67" ht="15" customHeight="1" x14ac:dyDescent="0.4">
      <c r="A26" s="62" t="s">
        <v>434</v>
      </c>
      <c r="B26" s="63">
        <v>9.1</v>
      </c>
      <c r="C26" s="63" t="s">
        <v>279</v>
      </c>
      <c r="D26" s="63">
        <f>($D$30/$B$30)*B26</f>
        <v>6.8174587138065919</v>
      </c>
      <c r="E26" s="63" t="s">
        <v>279</v>
      </c>
      <c r="F26" s="64">
        <f>'A. Databases'!$H$38</f>
        <v>0</v>
      </c>
      <c r="G26" s="66">
        <f>F26*D26</f>
        <v>0</v>
      </c>
      <c r="H26" s="9"/>
      <c r="I26" s="41"/>
      <c r="J26" s="111"/>
      <c r="K26" s="111"/>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row>
    <row r="27" spans="1:67" ht="15" customHeight="1" x14ac:dyDescent="0.4">
      <c r="A27" s="62" t="s">
        <v>446</v>
      </c>
      <c r="B27" s="63">
        <v>6.09</v>
      </c>
      <c r="C27" s="63" t="s">
        <v>279</v>
      </c>
      <c r="D27" s="63">
        <f>($D$30/$B$30)*B27</f>
        <v>4.5624531392397962</v>
      </c>
      <c r="E27" s="63" t="s">
        <v>279</v>
      </c>
      <c r="F27" s="64">
        <f>'A. Databases'!$H$35</f>
        <v>0</v>
      </c>
      <c r="G27" s="66">
        <f>F27*D27</f>
        <v>0</v>
      </c>
      <c r="H27" s="9"/>
      <c r="I27" s="41"/>
      <c r="J27" s="111"/>
      <c r="K27" s="111"/>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row>
    <row r="28" spans="1:67" ht="15" customHeight="1" x14ac:dyDescent="0.4">
      <c r="A28" s="80"/>
      <c r="B28" s="63"/>
      <c r="C28" s="63"/>
      <c r="D28" s="63"/>
      <c r="E28" s="63"/>
      <c r="F28" s="64"/>
      <c r="G28" s="66"/>
      <c r="H28" s="9"/>
      <c r="I28" s="41"/>
      <c r="J28" s="111"/>
      <c r="K28" s="111"/>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row>
    <row r="29" spans="1:67" ht="15" customHeight="1" x14ac:dyDescent="0.4">
      <c r="A29" s="115" t="s">
        <v>396</v>
      </c>
      <c r="B29" s="63" t="s">
        <v>379</v>
      </c>
      <c r="C29" s="63" t="s">
        <v>380</v>
      </c>
      <c r="D29" s="63" t="s">
        <v>382</v>
      </c>
      <c r="E29" s="63" t="s">
        <v>380</v>
      </c>
      <c r="F29" s="64"/>
      <c r="G29" s="66"/>
      <c r="H29" s="9"/>
      <c r="I29" s="41"/>
      <c r="J29" s="111"/>
      <c r="K29" s="111"/>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row>
    <row r="30" spans="1:67" ht="15" customHeight="1" x14ac:dyDescent="0.4">
      <c r="A30" s="87">
        <v>16</v>
      </c>
      <c r="B30" s="74">
        <v>1.23861</v>
      </c>
      <c r="C30" s="74" t="s">
        <v>279</v>
      </c>
      <c r="D30" s="74">
        <f>D36</f>
        <v>0.92793104807780036</v>
      </c>
      <c r="E30" s="74" t="s">
        <v>279</v>
      </c>
      <c r="F30" s="75">
        <f>G30/D30</f>
        <v>0</v>
      </c>
      <c r="G30" s="78">
        <f>SUM(G22,G23,G26,G27,G24)</f>
        <v>0</v>
      </c>
      <c r="H30" s="24"/>
      <c r="I30" s="45"/>
      <c r="J30" s="111"/>
      <c r="K30" s="111"/>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row>
    <row r="31" spans="1:67" ht="15" customHeight="1" x14ac:dyDescent="0.4">
      <c r="A31" s="210"/>
      <c r="B31" s="210"/>
      <c r="C31" s="210"/>
      <c r="D31" s="210"/>
      <c r="E31" s="210"/>
      <c r="F31" s="210"/>
      <c r="G31" s="210"/>
      <c r="H31" s="47"/>
      <c r="I31" s="47"/>
      <c r="J31" s="47"/>
      <c r="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row>
    <row r="32" spans="1:67" ht="15" customHeight="1" x14ac:dyDescent="0.4">
      <c r="A32" s="47"/>
      <c r="B32" s="47"/>
      <c r="C32" s="47"/>
      <c r="D32" s="47"/>
      <c r="E32" s="47"/>
      <c r="F32" s="47"/>
      <c r="G32" s="47"/>
      <c r="H32" s="47"/>
      <c r="I32" s="47"/>
      <c r="J32" s="47"/>
      <c r="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row>
    <row r="33" spans="1:67" ht="15" customHeight="1" x14ac:dyDescent="0.4">
      <c r="A33" s="117" t="s">
        <v>400</v>
      </c>
      <c r="B33" s="94" t="s">
        <v>401</v>
      </c>
      <c r="C33" s="94"/>
      <c r="D33" s="94"/>
      <c r="E33" s="94"/>
      <c r="F33" s="94"/>
      <c r="G33" s="94"/>
      <c r="H33" s="4"/>
      <c r="I33" s="109"/>
      <c r="J33" s="110" t="s">
        <v>437</v>
      </c>
      <c r="K33" s="110"/>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row>
    <row r="34" spans="1:67" ht="15" customHeight="1" x14ac:dyDescent="0.4">
      <c r="A34" s="86"/>
      <c r="B34" s="63"/>
      <c r="C34" s="63"/>
      <c r="D34" s="63"/>
      <c r="E34" s="63"/>
      <c r="F34" s="63"/>
      <c r="G34" s="63"/>
      <c r="H34" s="9" t="s">
        <v>438</v>
      </c>
      <c r="I34" s="41"/>
      <c r="J34" s="111">
        <f>(D36+D37+D38+D40)/D44</f>
        <v>2.9182350251486056</v>
      </c>
      <c r="K34" s="111"/>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row>
    <row r="35" spans="1:67" ht="15" customHeight="1" x14ac:dyDescent="0.4">
      <c r="A35" s="115" t="s">
        <v>378</v>
      </c>
      <c r="B35" s="63" t="s">
        <v>379</v>
      </c>
      <c r="C35" s="63" t="s">
        <v>380</v>
      </c>
      <c r="D35" s="63" t="s">
        <v>382</v>
      </c>
      <c r="E35" s="63" t="s">
        <v>380</v>
      </c>
      <c r="F35" s="63" t="s">
        <v>383</v>
      </c>
      <c r="G35" s="63" t="s">
        <v>384</v>
      </c>
      <c r="H35" s="86" t="s">
        <v>439</v>
      </c>
      <c r="I35" s="41">
        <f>G36</f>
        <v>0</v>
      </c>
      <c r="J35" s="111"/>
      <c r="K35" s="111"/>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row>
    <row r="36" spans="1:67" ht="15" customHeight="1" x14ac:dyDescent="0.4">
      <c r="A36" s="81">
        <v>16</v>
      </c>
      <c r="B36" s="63">
        <v>2.099898</v>
      </c>
      <c r="C36" s="63" t="s">
        <v>279</v>
      </c>
      <c r="D36" s="63">
        <f>($D$44/$B$44)*B36</f>
        <v>0.92793104807780036</v>
      </c>
      <c r="E36" s="63" t="s">
        <v>279</v>
      </c>
      <c r="F36" s="64">
        <f>$F$30</f>
        <v>0</v>
      </c>
      <c r="G36" s="64">
        <f>F36*D36</f>
        <v>0</v>
      </c>
      <c r="H36" s="9" t="s">
        <v>441</v>
      </c>
      <c r="I36" s="41">
        <f>SUM(G37:G38)</f>
        <v>0</v>
      </c>
      <c r="J36" s="111"/>
      <c r="K36" s="111"/>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row>
    <row r="37" spans="1:67" ht="15" customHeight="1" x14ac:dyDescent="0.4">
      <c r="A37" s="81">
        <v>3</v>
      </c>
      <c r="B37" s="63">
        <v>1.4</v>
      </c>
      <c r="C37" s="63" t="s">
        <v>279</v>
      </c>
      <c r="D37" s="63">
        <f>($D$44/$B$44)*B37</f>
        <v>0.61865074746912485</v>
      </c>
      <c r="E37" s="63" t="s">
        <v>279</v>
      </c>
      <c r="F37" s="64">
        <f>'B.4. Precursors'!D60</f>
        <v>0</v>
      </c>
      <c r="G37" s="64">
        <f>F37*D37</f>
        <v>0</v>
      </c>
      <c r="H37" s="86" t="s">
        <v>443</v>
      </c>
      <c r="I37" s="41"/>
      <c r="J37" s="111"/>
      <c r="K37" s="111"/>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row>
    <row r="38" spans="1:67" ht="15" customHeight="1" x14ac:dyDescent="0.4">
      <c r="A38" s="81" t="s">
        <v>448</v>
      </c>
      <c r="B38" s="63">
        <v>4.0500000000000001E-2</v>
      </c>
      <c r="C38" s="63" t="s">
        <v>279</v>
      </c>
      <c r="D38" s="63">
        <f>($D$44/$B$44)*B38</f>
        <v>1.7896682337499685E-2</v>
      </c>
      <c r="E38" s="63" t="s">
        <v>279</v>
      </c>
      <c r="F38" s="64">
        <f>'B.4. Precursors'!$G$35</f>
        <v>0</v>
      </c>
      <c r="G38" s="64">
        <f>F38*D38</f>
        <v>0</v>
      </c>
      <c r="H38" s="86" t="s">
        <v>445</v>
      </c>
      <c r="I38" s="41">
        <f>G40</f>
        <v>0</v>
      </c>
      <c r="J38" s="111"/>
      <c r="K38" s="111"/>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row>
    <row r="39" spans="1:67" ht="15" customHeight="1" x14ac:dyDescent="0.4">
      <c r="A39" s="115" t="s">
        <v>392</v>
      </c>
      <c r="B39" s="63" t="s">
        <v>379</v>
      </c>
      <c r="C39" s="63" t="s">
        <v>380</v>
      </c>
      <c r="D39" s="63" t="s">
        <v>382</v>
      </c>
      <c r="E39" s="63" t="s">
        <v>380</v>
      </c>
      <c r="F39" s="64"/>
      <c r="G39" s="64"/>
      <c r="H39" s="9"/>
      <c r="I39" s="41"/>
      <c r="J39" s="111"/>
      <c r="K39" s="111"/>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row>
    <row r="40" spans="1:67" ht="15" customHeight="1" x14ac:dyDescent="0.4">
      <c r="A40" s="62" t="s">
        <v>446</v>
      </c>
      <c r="B40" s="63">
        <v>3.48</v>
      </c>
      <c r="C40" s="63" t="s">
        <v>279</v>
      </c>
      <c r="D40" s="63">
        <f>($D$44/$B$44)*B40</f>
        <v>1.5377890008518247</v>
      </c>
      <c r="E40" s="63" t="s">
        <v>279</v>
      </c>
      <c r="F40" s="64">
        <f>'A. Databases'!$H$35</f>
        <v>0</v>
      </c>
      <c r="G40" s="64">
        <f>F40*D40</f>
        <v>0</v>
      </c>
      <c r="H40" s="9"/>
      <c r="I40" s="41"/>
      <c r="J40" s="111"/>
      <c r="K40" s="111"/>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row>
    <row r="41" spans="1:67" ht="15" customHeight="1" x14ac:dyDescent="0.4">
      <c r="A41" s="80"/>
      <c r="B41" s="63"/>
      <c r="C41" s="63"/>
      <c r="D41" s="63"/>
      <c r="E41" s="63"/>
      <c r="F41" s="89"/>
      <c r="G41" s="89"/>
      <c r="H41" s="9"/>
      <c r="I41" s="41"/>
      <c r="J41" s="111"/>
      <c r="K41" s="111"/>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row>
    <row r="42" spans="1:67" ht="15" customHeight="1" x14ac:dyDescent="0.4">
      <c r="A42" s="80"/>
      <c r="B42" s="63"/>
      <c r="C42" s="63"/>
      <c r="D42" s="63"/>
      <c r="E42" s="63"/>
      <c r="F42" s="64"/>
      <c r="G42" s="64"/>
      <c r="H42" s="9"/>
      <c r="I42" s="41"/>
      <c r="J42" s="111"/>
      <c r="K42" s="111"/>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row>
    <row r="43" spans="1:67" ht="15" customHeight="1" x14ac:dyDescent="0.4">
      <c r="A43" s="115" t="s">
        <v>396</v>
      </c>
      <c r="B43" s="63" t="s">
        <v>379</v>
      </c>
      <c r="C43" s="63" t="s">
        <v>380</v>
      </c>
      <c r="D43" s="63" t="s">
        <v>382</v>
      </c>
      <c r="E43" s="63" t="s">
        <v>380</v>
      </c>
      <c r="F43" s="64"/>
      <c r="G43" s="64"/>
      <c r="H43" s="9"/>
      <c r="I43" s="41"/>
      <c r="J43" s="111"/>
      <c r="K43" s="111"/>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row>
    <row r="44" spans="1:67" ht="15" customHeight="1" x14ac:dyDescent="0.4">
      <c r="A44" s="87">
        <v>5</v>
      </c>
      <c r="B44" s="74">
        <v>2.4056999999999999</v>
      </c>
      <c r="C44" s="74" t="s">
        <v>279</v>
      </c>
      <c r="D44" s="74">
        <f>D50</f>
        <v>1.0630629308474813</v>
      </c>
      <c r="E44" s="74" t="s">
        <v>279</v>
      </c>
      <c r="F44" s="75">
        <f>G44/D44</f>
        <v>0</v>
      </c>
      <c r="G44" s="75">
        <f>SUM(G36,G37,G40,G41,G38)</f>
        <v>0</v>
      </c>
      <c r="H44" s="24"/>
      <c r="I44" s="45"/>
      <c r="J44" s="111"/>
      <c r="K44" s="111"/>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row>
    <row r="45" spans="1:67" ht="15" customHeight="1" x14ac:dyDescent="0.4">
      <c r="A45" s="210"/>
      <c r="B45" s="210"/>
      <c r="C45" s="210"/>
      <c r="D45" s="210"/>
      <c r="E45" s="210"/>
      <c r="F45" s="210"/>
      <c r="G45" s="210"/>
      <c r="H45" s="47"/>
      <c r="I45" s="47"/>
      <c r="J45" s="47"/>
      <c r="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row>
    <row r="46" spans="1:67" ht="15" customHeight="1" x14ac:dyDescent="0.4">
      <c r="A46" s="47"/>
      <c r="B46" s="47"/>
      <c r="C46" s="47"/>
      <c r="D46" s="47"/>
      <c r="E46" s="47"/>
      <c r="F46" s="47"/>
      <c r="G46" s="47"/>
      <c r="H46" s="47"/>
      <c r="I46" s="47"/>
      <c r="J46" s="47"/>
      <c r="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row>
    <row r="47" spans="1:67" ht="15" customHeight="1" x14ac:dyDescent="0.4">
      <c r="A47" s="117" t="s">
        <v>404</v>
      </c>
      <c r="B47" s="94" t="s">
        <v>405</v>
      </c>
      <c r="C47" s="94"/>
      <c r="D47" s="94"/>
      <c r="E47" s="94"/>
      <c r="F47" s="94"/>
      <c r="G47" s="118"/>
      <c r="H47" s="4"/>
      <c r="I47" s="109"/>
      <c r="J47" s="110" t="s">
        <v>437</v>
      </c>
      <c r="K47" s="110"/>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row>
    <row r="48" spans="1:67" ht="15" customHeight="1" x14ac:dyDescent="0.4">
      <c r="A48" s="86"/>
      <c r="B48" s="63"/>
      <c r="C48" s="63"/>
      <c r="D48" s="63"/>
      <c r="E48" s="63"/>
      <c r="F48" s="63"/>
      <c r="G48" s="70"/>
      <c r="H48" s="9" t="s">
        <v>438</v>
      </c>
      <c r="I48" s="41"/>
      <c r="J48" s="111">
        <f>(D50+D51+D52+D53+D54+D56+D57)/D60</f>
        <v>22.189772727272725</v>
      </c>
      <c r="K48" s="111"/>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row>
    <row r="49" spans="1:67" ht="15" customHeight="1" x14ac:dyDescent="0.4">
      <c r="A49" s="115" t="s">
        <v>378</v>
      </c>
      <c r="B49" s="63" t="s">
        <v>379</v>
      </c>
      <c r="C49" s="63" t="s">
        <v>380</v>
      </c>
      <c r="D49" s="63" t="s">
        <v>382</v>
      </c>
      <c r="E49" s="63" t="s">
        <v>380</v>
      </c>
      <c r="F49" s="63" t="s">
        <v>383</v>
      </c>
      <c r="G49" s="70" t="s">
        <v>384</v>
      </c>
      <c r="H49" s="86" t="s">
        <v>439</v>
      </c>
      <c r="I49" s="41">
        <f>G50</f>
        <v>0</v>
      </c>
      <c r="J49" s="111"/>
      <c r="K49" s="111"/>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row>
    <row r="50" spans="1:67" ht="15" customHeight="1" x14ac:dyDescent="0.4">
      <c r="A50" s="81">
        <v>5</v>
      </c>
      <c r="B50" s="63">
        <v>2</v>
      </c>
      <c r="C50" s="63" t="s">
        <v>279</v>
      </c>
      <c r="D50" s="63">
        <f>($D$60/$B$60)*B50</f>
        <v>1.0630629308474813</v>
      </c>
      <c r="E50" s="63" t="s">
        <v>279</v>
      </c>
      <c r="F50" s="64">
        <f>$F$44</f>
        <v>0</v>
      </c>
      <c r="G50" s="66">
        <f>F50*D50</f>
        <v>0</v>
      </c>
      <c r="H50" s="9" t="s">
        <v>441</v>
      </c>
      <c r="I50" s="41">
        <f>SUM(G51:G54)</f>
        <v>0</v>
      </c>
      <c r="J50" s="111"/>
      <c r="K50" s="111"/>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row>
    <row r="51" spans="1:67" ht="15" customHeight="1" x14ac:dyDescent="0.4">
      <c r="A51" s="81" t="s">
        <v>449</v>
      </c>
      <c r="B51" s="63">
        <v>1.24</v>
      </c>
      <c r="C51" s="63" t="s">
        <v>279</v>
      </c>
      <c r="D51" s="63">
        <f>($D$60/$B$60)*B51</f>
        <v>0.65909901712543839</v>
      </c>
      <c r="E51" s="63" t="s">
        <v>279</v>
      </c>
      <c r="F51" s="64">
        <f>'A. Databases'!$H$25</f>
        <v>0</v>
      </c>
      <c r="G51" s="66">
        <f>F51*D51</f>
        <v>0</v>
      </c>
      <c r="H51" s="86" t="s">
        <v>443</v>
      </c>
      <c r="I51" s="41">
        <v>0</v>
      </c>
      <c r="J51" s="111"/>
      <c r="K51" s="111"/>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row>
    <row r="52" spans="1:67" ht="15" customHeight="1" x14ac:dyDescent="0.4">
      <c r="A52" s="81" t="s">
        <v>450</v>
      </c>
      <c r="B52" s="63">
        <v>1.36</v>
      </c>
      <c r="C52" s="63" t="s">
        <v>279</v>
      </c>
      <c r="D52" s="63">
        <f>($D$60/$B$60)*B52</f>
        <v>0.72288279297628733</v>
      </c>
      <c r="E52" s="63" t="s">
        <v>279</v>
      </c>
      <c r="F52" s="64">
        <f>'A. Databases'!$H$62</f>
        <v>0</v>
      </c>
      <c r="G52" s="66">
        <f>F52*D52</f>
        <v>0</v>
      </c>
      <c r="H52" s="86" t="s">
        <v>445</v>
      </c>
      <c r="I52" s="41">
        <f>SUM(G56:G57)</f>
        <v>0</v>
      </c>
      <c r="J52" s="111"/>
      <c r="K52" s="111"/>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row>
    <row r="53" spans="1:67" ht="15" customHeight="1" x14ac:dyDescent="0.4">
      <c r="A53" s="81" t="s">
        <v>451</v>
      </c>
      <c r="B53" s="63">
        <v>1.6319999999999999</v>
      </c>
      <c r="C53" s="63" t="s">
        <v>279</v>
      </c>
      <c r="D53" s="63">
        <f>($D$60/$B$60)*B53</f>
        <v>0.86745935157154463</v>
      </c>
      <c r="E53" s="63" t="s">
        <v>279</v>
      </c>
      <c r="F53" s="64">
        <f>'A. Databases'!$H$56</f>
        <v>0</v>
      </c>
      <c r="G53" s="66">
        <f>D53*F53</f>
        <v>0</v>
      </c>
      <c r="H53" s="9"/>
      <c r="I53" s="41"/>
      <c r="J53" s="111"/>
      <c r="K53" s="111"/>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row>
    <row r="54" spans="1:67" ht="15" customHeight="1" x14ac:dyDescent="0.4">
      <c r="A54" s="81" t="s">
        <v>181</v>
      </c>
      <c r="B54" s="63">
        <v>1.3979999999999999</v>
      </c>
      <c r="C54" s="63" t="s">
        <v>279</v>
      </c>
      <c r="D54" s="63">
        <f>($D$60/$B$60)*B54</f>
        <v>0.74308098866238936</v>
      </c>
      <c r="E54" s="63" t="s">
        <v>279</v>
      </c>
      <c r="F54" s="64">
        <f>'A. Databases'!$H$57</f>
        <v>0</v>
      </c>
      <c r="G54" s="66">
        <f>D54*F54</f>
        <v>0</v>
      </c>
      <c r="H54" s="9"/>
      <c r="I54" s="41"/>
      <c r="J54" s="111"/>
      <c r="K54" s="111"/>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row>
    <row r="55" spans="1:67" ht="15" customHeight="1" x14ac:dyDescent="0.4">
      <c r="A55" s="115" t="s">
        <v>392</v>
      </c>
      <c r="B55" s="63" t="s">
        <v>379</v>
      </c>
      <c r="C55" s="63" t="s">
        <v>380</v>
      </c>
      <c r="D55" s="63" t="s">
        <v>382</v>
      </c>
      <c r="E55" s="63" t="s">
        <v>380</v>
      </c>
      <c r="F55" s="64"/>
      <c r="G55" s="66"/>
      <c r="H55" s="9"/>
      <c r="I55" s="41"/>
      <c r="J55" s="111"/>
      <c r="K55" s="111"/>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row>
    <row r="56" spans="1:67" ht="15" customHeight="1" x14ac:dyDescent="0.4">
      <c r="A56" s="62" t="s">
        <v>423</v>
      </c>
      <c r="B56" s="63">
        <v>24.143999999999998</v>
      </c>
      <c r="C56" s="63" t="s">
        <v>279</v>
      </c>
      <c r="D56" s="63">
        <f>($D$60/$B$60)*B56</f>
        <v>12.833295701190792</v>
      </c>
      <c r="E56" s="63" t="s">
        <v>279</v>
      </c>
      <c r="F56" s="64">
        <f>'A. Databases'!$H$39</f>
        <v>0</v>
      </c>
      <c r="G56" s="66">
        <f>F56*D56</f>
        <v>0</v>
      </c>
      <c r="H56" s="9"/>
      <c r="I56" s="41"/>
      <c r="J56" s="111"/>
      <c r="K56" s="111"/>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row>
    <row r="57" spans="1:67" ht="15" customHeight="1" x14ac:dyDescent="0.4">
      <c r="A57" s="62" t="s">
        <v>434</v>
      </c>
      <c r="B57" s="63">
        <v>7.28</v>
      </c>
      <c r="C57" s="63" t="s">
        <v>279</v>
      </c>
      <c r="D57" s="63">
        <f>($D$60/$B$60)*B57</f>
        <v>3.8695490682848321</v>
      </c>
      <c r="E57" s="63" t="s">
        <v>279</v>
      </c>
      <c r="F57" s="64">
        <f>'A. Databases'!$H$38</f>
        <v>0</v>
      </c>
      <c r="G57" s="66">
        <f>F57*D57</f>
        <v>0</v>
      </c>
      <c r="H57" s="9"/>
      <c r="I57" s="41"/>
      <c r="J57" s="111"/>
      <c r="K57" s="111"/>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row>
    <row r="58" spans="1:67" ht="15" customHeight="1" x14ac:dyDescent="0.4">
      <c r="A58" s="80"/>
      <c r="B58" s="63"/>
      <c r="C58" s="63"/>
      <c r="D58" s="63"/>
      <c r="E58" s="63"/>
      <c r="F58" s="64"/>
      <c r="G58" s="66"/>
      <c r="H58" s="9"/>
      <c r="I58" s="41"/>
      <c r="J58" s="111"/>
      <c r="K58" s="111"/>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row>
    <row r="59" spans="1:67" ht="15" customHeight="1" x14ac:dyDescent="0.4">
      <c r="A59" s="115" t="s">
        <v>396</v>
      </c>
      <c r="B59" s="63" t="s">
        <v>379</v>
      </c>
      <c r="C59" s="63" t="s">
        <v>380</v>
      </c>
      <c r="D59" s="63" t="s">
        <v>382</v>
      </c>
      <c r="E59" s="63" t="s">
        <v>380</v>
      </c>
      <c r="F59" s="64"/>
      <c r="G59" s="66"/>
      <c r="H59" s="9"/>
      <c r="I59" s="41"/>
      <c r="J59" s="111"/>
      <c r="K59" s="111"/>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row>
    <row r="60" spans="1:67" ht="15" customHeight="1" x14ac:dyDescent="0.4">
      <c r="A60" s="73">
        <v>17</v>
      </c>
      <c r="B60" s="74">
        <v>1.76</v>
      </c>
      <c r="C60" s="74" t="s">
        <v>279</v>
      </c>
      <c r="D60" s="74">
        <f>D66</f>
        <v>0.93549537914578351</v>
      </c>
      <c r="E60" s="74" t="s">
        <v>279</v>
      </c>
      <c r="F60" s="75">
        <f>G60/D60</f>
        <v>0</v>
      </c>
      <c r="G60" s="78">
        <f>SUM(G50,G51,G56,G57,G52,G53,G54)</f>
        <v>0</v>
      </c>
      <c r="H60" s="24"/>
      <c r="I60" s="45"/>
      <c r="J60" s="111"/>
      <c r="K60" s="111"/>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row>
    <row r="61" spans="1:67" ht="15" customHeight="1" x14ac:dyDescent="0.4">
      <c r="A61" s="210"/>
      <c r="B61" s="210"/>
      <c r="C61" s="210"/>
      <c r="D61" s="210"/>
      <c r="E61" s="210"/>
      <c r="F61" s="210"/>
      <c r="G61" s="210"/>
      <c r="H61" s="47"/>
      <c r="I61" s="47"/>
      <c r="J61" s="47"/>
      <c r="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row>
    <row r="62" spans="1:67" ht="15" customHeight="1" x14ac:dyDescent="0.4">
      <c r="A62" s="47"/>
      <c r="B62" s="47"/>
      <c r="C62" s="47"/>
      <c r="D62" s="47"/>
      <c r="E62" s="47"/>
      <c r="F62" s="47"/>
      <c r="G62" s="47"/>
      <c r="H62" s="47"/>
      <c r="I62" s="47"/>
      <c r="J62" s="47"/>
      <c r="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row>
    <row r="63" spans="1:67" ht="15" customHeight="1" x14ac:dyDescent="0.4">
      <c r="A63" s="117" t="s">
        <v>411</v>
      </c>
      <c r="B63" s="94" t="s">
        <v>412</v>
      </c>
      <c r="C63" s="94"/>
      <c r="D63" s="94"/>
      <c r="E63" s="94"/>
      <c r="F63" s="94"/>
      <c r="G63" s="118"/>
      <c r="H63" s="4"/>
      <c r="I63" s="109"/>
      <c r="J63" s="110" t="s">
        <v>437</v>
      </c>
      <c r="K63" s="110"/>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row>
    <row r="64" spans="1:67" ht="15" customHeight="1" x14ac:dyDescent="0.4">
      <c r="A64" s="86"/>
      <c r="B64" s="63"/>
      <c r="C64" s="63"/>
      <c r="D64" s="63"/>
      <c r="E64" s="63"/>
      <c r="F64" s="63"/>
      <c r="G64" s="70"/>
      <c r="H64" s="9" t="s">
        <v>438</v>
      </c>
      <c r="I64" s="41"/>
      <c r="J64" s="111">
        <f>(D66+D67+D68+D69+D70+D72+D73)/D76</f>
        <v>10.152387397740984</v>
      </c>
      <c r="K64" s="111"/>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row>
    <row r="65" spans="1:67" ht="15" customHeight="1" x14ac:dyDescent="0.4">
      <c r="A65" s="115" t="s">
        <v>378</v>
      </c>
      <c r="B65" s="63" t="s">
        <v>379</v>
      </c>
      <c r="C65" s="63" t="s">
        <v>380</v>
      </c>
      <c r="D65" s="63" t="s">
        <v>382</v>
      </c>
      <c r="E65" s="63" t="s">
        <v>380</v>
      </c>
      <c r="F65" s="63" t="s">
        <v>383</v>
      </c>
      <c r="G65" s="70" t="s">
        <v>384</v>
      </c>
      <c r="H65" s="86" t="s">
        <v>439</v>
      </c>
      <c r="I65" s="41">
        <f>G66</f>
        <v>0</v>
      </c>
      <c r="J65" s="111"/>
      <c r="K65" s="111"/>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row>
    <row r="66" spans="1:67" ht="15" customHeight="1" x14ac:dyDescent="0.4">
      <c r="A66" s="86">
        <v>17</v>
      </c>
      <c r="B66" s="99">
        <v>1.76</v>
      </c>
      <c r="C66" s="99" t="s">
        <v>279</v>
      </c>
      <c r="D66" s="63">
        <f>($D$76/$B$76)*B66</f>
        <v>0.93549537914578351</v>
      </c>
      <c r="E66" s="63" t="s">
        <v>279</v>
      </c>
      <c r="F66" s="64">
        <f>$F$60</f>
        <v>0</v>
      </c>
      <c r="G66" s="66">
        <f>F66*D66</f>
        <v>0</v>
      </c>
      <c r="H66" s="9" t="s">
        <v>441</v>
      </c>
      <c r="I66" s="41">
        <f>SUM(G67:G70)</f>
        <v>0</v>
      </c>
      <c r="J66" s="111"/>
      <c r="K66" s="111"/>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row>
    <row r="67" spans="1:67" ht="15" customHeight="1" x14ac:dyDescent="0.4">
      <c r="A67" s="86" t="s">
        <v>413</v>
      </c>
      <c r="B67" s="99">
        <v>1.38</v>
      </c>
      <c r="C67" s="99" t="s">
        <v>279</v>
      </c>
      <c r="D67" s="63">
        <f>($D$76/$B$76)*B67</f>
        <v>0.73351342228476202</v>
      </c>
      <c r="E67" s="63" t="s">
        <v>279</v>
      </c>
      <c r="F67" s="64">
        <f>'B.4. Precursors'!I126</f>
        <v>0</v>
      </c>
      <c r="G67" s="66">
        <f>F67*D67</f>
        <v>0</v>
      </c>
      <c r="H67" s="86" t="s">
        <v>443</v>
      </c>
      <c r="I67" s="41">
        <v>0</v>
      </c>
      <c r="J67" s="111"/>
      <c r="K67" s="111">
        <f>('A. Databases'!$H$64+'A. Databases'!$H$62+2*'A. Databases'!$H$63)/0.95/0.95</f>
        <v>0</v>
      </c>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row>
    <row r="68" spans="1:67" ht="15" customHeight="1" x14ac:dyDescent="0.4">
      <c r="A68" s="86" t="s">
        <v>452</v>
      </c>
      <c r="B68" s="99">
        <v>1.0827651</v>
      </c>
      <c r="C68" s="99" t="s">
        <v>279</v>
      </c>
      <c r="D68" s="63">
        <f>($D$76/$B$76)*B68</f>
        <v>0.57552372031268306</v>
      </c>
      <c r="E68" s="63" t="s">
        <v>279</v>
      </c>
      <c r="F68" s="64">
        <f>'A. Databases'!$H$66+3*'A. Databases'!$H$65</f>
        <v>0</v>
      </c>
      <c r="G68" s="66">
        <f>F68*D68</f>
        <v>0</v>
      </c>
      <c r="H68" s="86" t="s">
        <v>445</v>
      </c>
      <c r="I68" s="41">
        <f>SUM(G72:G73)</f>
        <v>0</v>
      </c>
      <c r="J68" s="111"/>
      <c r="K68" s="111"/>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row>
    <row r="69" spans="1:67" ht="15" customHeight="1" x14ac:dyDescent="0.4">
      <c r="A69" s="86" t="s">
        <v>453</v>
      </c>
      <c r="B69" s="99">
        <v>2.7239481933242802</v>
      </c>
      <c r="C69" s="99" t="s">
        <v>279</v>
      </c>
      <c r="D69" s="63">
        <f>($D$76/$B$76)*B69</f>
        <v>1.4478641749360055</v>
      </c>
      <c r="E69" s="63" t="s">
        <v>279</v>
      </c>
      <c r="F69" s="64">
        <f>'A. Databases'!$H$54</f>
        <v>0</v>
      </c>
      <c r="G69" s="66">
        <f>F69*D69</f>
        <v>0</v>
      </c>
      <c r="H69" s="9"/>
      <c r="I69" s="41"/>
      <c r="J69" s="111"/>
      <c r="K69" s="111"/>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row>
    <row r="70" spans="1:67" ht="15" customHeight="1" x14ac:dyDescent="0.4">
      <c r="A70" s="86" t="s">
        <v>454</v>
      </c>
      <c r="B70" s="99">
        <v>0.74399999999999999</v>
      </c>
      <c r="C70" s="99" t="s">
        <v>279</v>
      </c>
      <c r="D70" s="63">
        <f>($D$76/$B$76)*B70</f>
        <v>0.39545941027526305</v>
      </c>
      <c r="E70" s="63" t="s">
        <v>279</v>
      </c>
      <c r="F70" s="64">
        <f>'A. Databases'!$H$23</f>
        <v>0</v>
      </c>
      <c r="G70" s="66">
        <f>F70*D70</f>
        <v>0</v>
      </c>
      <c r="H70" s="9"/>
      <c r="I70" s="41"/>
      <c r="J70" s="111"/>
      <c r="K70" s="111"/>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row>
    <row r="71" spans="1:67" ht="15" customHeight="1" x14ac:dyDescent="0.4">
      <c r="A71" s="115" t="s">
        <v>392</v>
      </c>
      <c r="B71" s="63" t="s">
        <v>379</v>
      </c>
      <c r="C71" s="63" t="s">
        <v>380</v>
      </c>
      <c r="D71" s="63" t="s">
        <v>382</v>
      </c>
      <c r="E71" s="63" t="s">
        <v>380</v>
      </c>
      <c r="F71" s="64"/>
      <c r="G71" s="66"/>
      <c r="H71" s="9"/>
      <c r="I71" s="41"/>
      <c r="J71" s="111"/>
      <c r="K71" s="111"/>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row>
    <row r="72" spans="1:67" ht="15" customHeight="1" x14ac:dyDescent="0.4">
      <c r="A72" s="86" t="s">
        <v>434</v>
      </c>
      <c r="B72" s="63">
        <v>20.3</v>
      </c>
      <c r="C72" s="63" t="s">
        <v>279</v>
      </c>
      <c r="D72" s="63">
        <f>($D$76/$B$76)*B72</f>
        <v>10.790088748101935</v>
      </c>
      <c r="E72" s="63" t="s">
        <v>279</v>
      </c>
      <c r="F72" s="64">
        <f>'A. Databases'!$H$38</f>
        <v>0</v>
      </c>
      <c r="G72" s="66">
        <f>F72*D72</f>
        <v>0</v>
      </c>
      <c r="H72" s="9"/>
      <c r="I72" s="41"/>
      <c r="J72" s="111"/>
      <c r="K72" s="111"/>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row>
    <row r="73" spans="1:67" ht="15" customHeight="1" x14ac:dyDescent="0.4">
      <c r="A73" s="86" t="s">
        <v>455</v>
      </c>
      <c r="B73" s="99">
        <v>3.4491999999999998</v>
      </c>
      <c r="C73" s="63" t="s">
        <v>279</v>
      </c>
      <c r="D73" s="63">
        <f>($D$76/$B$76)*B73</f>
        <v>1.8333583305395662</v>
      </c>
      <c r="E73" s="63" t="s">
        <v>279</v>
      </c>
      <c r="F73" s="64">
        <f>'A. Databases'!$H$39</f>
        <v>0</v>
      </c>
      <c r="G73" s="66">
        <f>F73*D73</f>
        <v>0</v>
      </c>
      <c r="H73" s="9"/>
      <c r="I73" s="41"/>
      <c r="J73" s="111"/>
      <c r="K73" s="111"/>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row>
    <row r="74" spans="1:67" ht="15" customHeight="1" x14ac:dyDescent="0.4">
      <c r="A74" s="86"/>
      <c r="B74" s="63"/>
      <c r="C74" s="63"/>
      <c r="D74" s="63"/>
      <c r="E74" s="63"/>
      <c r="F74" s="64"/>
      <c r="G74" s="66"/>
      <c r="H74" s="9"/>
      <c r="I74" s="41"/>
      <c r="J74" s="111"/>
      <c r="K74" s="111"/>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row>
    <row r="75" spans="1:67" ht="15" customHeight="1" x14ac:dyDescent="0.4">
      <c r="A75" s="115" t="s">
        <v>396</v>
      </c>
      <c r="B75" s="63" t="s">
        <v>379</v>
      </c>
      <c r="C75" s="63" t="s">
        <v>380</v>
      </c>
      <c r="D75" s="63" t="s">
        <v>382</v>
      </c>
      <c r="E75" s="63" t="s">
        <v>380</v>
      </c>
      <c r="F75" s="64"/>
      <c r="G75" s="66"/>
      <c r="H75" s="9"/>
      <c r="I75" s="41"/>
      <c r="J75" s="111"/>
      <c r="K75" s="111"/>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row>
    <row r="76" spans="1:67" ht="15" customHeight="1" x14ac:dyDescent="0.4">
      <c r="A76" s="119" t="s">
        <v>417</v>
      </c>
      <c r="B76" s="74">
        <v>3.0968</v>
      </c>
      <c r="C76" s="74" t="s">
        <v>279</v>
      </c>
      <c r="D76" s="74">
        <f>D82</f>
        <v>1.6460466421242399</v>
      </c>
      <c r="E76" s="74" t="s">
        <v>279</v>
      </c>
      <c r="F76" s="75">
        <f>G76/D76</f>
        <v>0</v>
      </c>
      <c r="G76" s="78">
        <f>SUM(G66,G67,G72,G73,G68,G69,G70)</f>
        <v>0</v>
      </c>
      <c r="H76" s="24"/>
      <c r="I76" s="45"/>
      <c r="J76" s="111"/>
      <c r="K76" s="111"/>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row>
    <row r="77" spans="1:67" ht="15" customHeight="1" x14ac:dyDescent="0.4">
      <c r="A77" s="210"/>
      <c r="B77" s="210"/>
      <c r="C77" s="210"/>
      <c r="D77" s="210"/>
      <c r="E77" s="210"/>
      <c r="F77" s="210"/>
      <c r="G77" s="210"/>
      <c r="H77" s="47"/>
      <c r="I77" s="47"/>
      <c r="J77" s="47"/>
      <c r="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row>
    <row r="78" spans="1:67" ht="15" customHeight="1" x14ac:dyDescent="0.4">
      <c r="A78" s="47"/>
      <c r="B78" s="47"/>
      <c r="C78" s="47"/>
      <c r="D78" s="47"/>
      <c r="E78" s="47"/>
      <c r="F78" s="47"/>
      <c r="G78" s="47"/>
      <c r="H78" s="47"/>
      <c r="I78" s="47"/>
      <c r="J78" s="47"/>
      <c r="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row>
    <row r="79" spans="1:67" ht="15" customHeight="1" x14ac:dyDescent="0.4">
      <c r="A79" s="117" t="s">
        <v>415</v>
      </c>
      <c r="B79" s="94" t="s">
        <v>416</v>
      </c>
      <c r="C79" s="94"/>
      <c r="D79" s="94"/>
      <c r="E79" s="94"/>
      <c r="F79" s="94"/>
      <c r="G79" s="118"/>
      <c r="H79" s="4"/>
      <c r="I79" s="109"/>
      <c r="J79" s="110" t="s">
        <v>437</v>
      </c>
      <c r="K79" s="110"/>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row>
    <row r="80" spans="1:67" ht="15" customHeight="1" x14ac:dyDescent="0.4">
      <c r="A80" s="86"/>
      <c r="B80" s="63"/>
      <c r="C80" s="63"/>
      <c r="D80" s="63"/>
      <c r="E80" s="63"/>
      <c r="F80" s="63"/>
      <c r="G80" s="70"/>
      <c r="H80" s="9" t="s">
        <v>438</v>
      </c>
      <c r="I80" s="41"/>
      <c r="J80" s="111">
        <f>(D82+D83+D84+D88+D89)/D92</f>
        <v>21.184207539072776</v>
      </c>
      <c r="K80" s="111"/>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row>
    <row r="81" spans="1:67" ht="15" customHeight="1" x14ac:dyDescent="0.4">
      <c r="A81" s="115" t="s">
        <v>378</v>
      </c>
      <c r="B81" s="63" t="s">
        <v>379</v>
      </c>
      <c r="C81" s="63" t="s">
        <v>380</v>
      </c>
      <c r="D81" s="63" t="s">
        <v>382</v>
      </c>
      <c r="E81" s="63" t="s">
        <v>380</v>
      </c>
      <c r="F81" s="63" t="s">
        <v>383</v>
      </c>
      <c r="G81" s="70" t="s">
        <v>384</v>
      </c>
      <c r="H81" s="86" t="s">
        <v>439</v>
      </c>
      <c r="I81" s="41">
        <f>G82</f>
        <v>0</v>
      </c>
      <c r="J81" s="111"/>
      <c r="K81" s="111"/>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row>
    <row r="82" spans="1:67" ht="15" customHeight="1" x14ac:dyDescent="0.4">
      <c r="A82" s="86" t="s">
        <v>417</v>
      </c>
      <c r="B82" s="63">
        <v>0.498</v>
      </c>
      <c r="C82" s="63" t="s">
        <v>279</v>
      </c>
      <c r="D82" s="63">
        <f>($D$92/$B$92)*B82</f>
        <v>1.6460466421242399</v>
      </c>
      <c r="E82" s="63" t="s">
        <v>279</v>
      </c>
      <c r="F82" s="64">
        <f>$F$76</f>
        <v>0</v>
      </c>
      <c r="G82" s="66">
        <f>F82*D82</f>
        <v>0</v>
      </c>
      <c r="H82" s="9" t="s">
        <v>441</v>
      </c>
      <c r="I82" s="41">
        <f>G83</f>
        <v>0</v>
      </c>
      <c r="J82" s="120"/>
      <c r="K82" s="111"/>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row>
    <row r="83" spans="1:67" ht="15" customHeight="1" x14ac:dyDescent="0.4">
      <c r="A83" s="86" t="s">
        <v>456</v>
      </c>
      <c r="B83" s="63">
        <v>0.4372762</v>
      </c>
      <c r="C83" s="63" t="s">
        <v>279</v>
      </c>
      <c r="D83" s="63">
        <f>($D$92/$B$92)*B83</f>
        <v>1.4453353829133484</v>
      </c>
      <c r="E83" s="63" t="s">
        <v>279</v>
      </c>
      <c r="F83" s="64">
        <f>'A. Databases'!$H$54</f>
        <v>0</v>
      </c>
      <c r="G83" s="66">
        <f>F83*D83</f>
        <v>0</v>
      </c>
      <c r="H83" s="86" t="s">
        <v>443</v>
      </c>
      <c r="I83" s="61">
        <f>G84</f>
        <v>4.3951193909126829</v>
      </c>
      <c r="J83" s="120"/>
      <c r="K83" s="111"/>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row>
    <row r="84" spans="1:67" ht="15" customHeight="1" x14ac:dyDescent="0.4">
      <c r="A84" s="86" t="s">
        <v>419</v>
      </c>
      <c r="B84" s="63">
        <v>2.8000000000000001E-2</v>
      </c>
      <c r="C84" s="63" t="s">
        <v>279</v>
      </c>
      <c r="D84" s="63">
        <f>B84*D82/B82</f>
        <v>9.2548807187708262E-2</v>
      </c>
      <c r="E84" s="63" t="s">
        <v>279</v>
      </c>
      <c r="F84" s="64">
        <f>'B.2. Chiral Cat Merck'!H13</f>
        <v>47.489746485856536</v>
      </c>
      <c r="G84" s="66">
        <f>F84*D84</f>
        <v>4.3951193909126829</v>
      </c>
      <c r="H84" s="86" t="s">
        <v>445</v>
      </c>
      <c r="I84" s="41">
        <f>SUM(G88:G89)</f>
        <v>0</v>
      </c>
      <c r="J84" s="120"/>
      <c r="K84" s="111"/>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row>
    <row r="85" spans="1:67" ht="15" customHeight="1" x14ac:dyDescent="0.4">
      <c r="A85" s="86"/>
      <c r="B85" s="63"/>
      <c r="C85" s="63"/>
      <c r="D85" s="63"/>
      <c r="E85" s="63"/>
      <c r="F85" s="64"/>
      <c r="G85" s="66"/>
      <c r="H85" s="9"/>
      <c r="I85" s="41"/>
      <c r="J85" s="120"/>
      <c r="K85" s="111"/>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row>
    <row r="86" spans="1:67" ht="15" customHeight="1" x14ac:dyDescent="0.4">
      <c r="A86" s="86"/>
      <c r="B86" s="63"/>
      <c r="C86" s="63"/>
      <c r="D86" s="63"/>
      <c r="E86" s="63"/>
      <c r="F86" s="64"/>
      <c r="G86" s="66"/>
      <c r="H86" s="9"/>
      <c r="I86" s="41"/>
      <c r="J86" s="120"/>
      <c r="K86" s="111"/>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row>
    <row r="87" spans="1:67" ht="15" customHeight="1" x14ac:dyDescent="0.4">
      <c r="A87" s="115" t="s">
        <v>392</v>
      </c>
      <c r="B87" s="63" t="s">
        <v>379</v>
      </c>
      <c r="C87" s="63" t="s">
        <v>380</v>
      </c>
      <c r="D87" s="63" t="s">
        <v>382</v>
      </c>
      <c r="E87" s="63" t="s">
        <v>380</v>
      </c>
      <c r="F87" s="64"/>
      <c r="G87" s="66"/>
      <c r="H87" s="9"/>
      <c r="I87" s="41"/>
      <c r="J87" s="120"/>
      <c r="K87" s="111"/>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row>
    <row r="88" spans="1:67" ht="15" customHeight="1" x14ac:dyDescent="0.4">
      <c r="A88" s="86" t="s">
        <v>423</v>
      </c>
      <c r="B88" s="63">
        <v>4.57</v>
      </c>
      <c r="C88" s="63" t="s">
        <v>279</v>
      </c>
      <c r="D88" s="63">
        <f>($D$92/$B$92)*B88</f>
        <v>15.105287458850956</v>
      </c>
      <c r="E88" s="63" t="s">
        <v>279</v>
      </c>
      <c r="F88" s="64">
        <f>'A. Databases'!$H$39</f>
        <v>0</v>
      </c>
      <c r="G88" s="66">
        <f>F88*D88</f>
        <v>0</v>
      </c>
      <c r="H88" s="9"/>
      <c r="I88" s="41"/>
      <c r="J88" s="120"/>
      <c r="K88" s="111"/>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row>
    <row r="89" spans="1:67" ht="15" customHeight="1" x14ac:dyDescent="0.4">
      <c r="A89" s="86" t="s">
        <v>424</v>
      </c>
      <c r="B89" s="63">
        <v>1.353</v>
      </c>
      <c r="C89" s="63" t="s">
        <v>279</v>
      </c>
      <c r="D89" s="63">
        <f>($D$92/$B$92)*B89</f>
        <v>4.4720905758917597</v>
      </c>
      <c r="E89" s="63" t="s">
        <v>279</v>
      </c>
      <c r="F89" s="64">
        <f>'A. Databases'!$H$34</f>
        <v>0</v>
      </c>
      <c r="G89" s="66">
        <f>F89*D89</f>
        <v>0</v>
      </c>
      <c r="H89" s="9"/>
      <c r="I89" s="41"/>
      <c r="J89" s="120"/>
      <c r="K89" s="111"/>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row>
    <row r="90" spans="1:67" ht="15" customHeight="1" x14ac:dyDescent="0.4">
      <c r="A90" s="86"/>
      <c r="B90" s="63"/>
      <c r="C90" s="63"/>
      <c r="D90" s="63"/>
      <c r="E90" s="63"/>
      <c r="F90" s="64"/>
      <c r="G90" s="66"/>
      <c r="H90" s="9"/>
      <c r="I90" s="41"/>
      <c r="J90" s="111"/>
      <c r="K90" s="111"/>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row>
    <row r="91" spans="1:67" ht="15" customHeight="1" x14ac:dyDescent="0.4">
      <c r="A91" s="115" t="s">
        <v>396</v>
      </c>
      <c r="B91" s="63" t="s">
        <v>379</v>
      </c>
      <c r="C91" s="63" t="s">
        <v>380</v>
      </c>
      <c r="D91" s="63" t="s">
        <v>382</v>
      </c>
      <c r="E91" s="63" t="s">
        <v>380</v>
      </c>
      <c r="F91" s="64"/>
      <c r="G91" s="66"/>
      <c r="H91" s="9"/>
      <c r="I91" s="41"/>
      <c r="J91" s="111"/>
      <c r="K91" s="111"/>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row>
    <row r="92" spans="1:67" ht="15" customHeight="1" x14ac:dyDescent="0.4">
      <c r="A92" s="119" t="s">
        <v>429</v>
      </c>
      <c r="B92" s="74">
        <v>0.32506649999999998</v>
      </c>
      <c r="C92" s="74" t="s">
        <v>279</v>
      </c>
      <c r="D92" s="74">
        <f>D98</f>
        <v>1.0744470297029702</v>
      </c>
      <c r="E92" s="74" t="s">
        <v>279</v>
      </c>
      <c r="F92" s="75">
        <f>G92/D92</f>
        <v>4.0905873155307706</v>
      </c>
      <c r="G92" s="78">
        <f>SUM(G82,G83,G88,G89,G84)</f>
        <v>4.3951193909126829</v>
      </c>
      <c r="H92" s="24"/>
      <c r="I92" s="45"/>
      <c r="J92" s="111"/>
      <c r="K92" s="111"/>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row>
    <row r="93" spans="1:67" ht="15" customHeight="1" x14ac:dyDescent="0.4">
      <c r="A93" s="210"/>
      <c r="B93" s="210"/>
      <c r="C93" s="210"/>
      <c r="D93" s="210"/>
      <c r="E93" s="210"/>
      <c r="F93" s="210"/>
      <c r="G93" s="210"/>
      <c r="H93" s="47"/>
      <c r="I93" s="47"/>
      <c r="J93" s="47"/>
      <c r="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row>
    <row r="94" spans="1:67" ht="15" customHeight="1" x14ac:dyDescent="0.4">
      <c r="A94" s="47"/>
      <c r="B94" s="47"/>
      <c r="C94" s="47"/>
      <c r="D94" s="47"/>
      <c r="E94" s="47"/>
      <c r="F94" s="47"/>
      <c r="G94" s="47"/>
      <c r="H94" s="47"/>
      <c r="I94" s="47"/>
      <c r="J94" s="47"/>
      <c r="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row>
    <row r="95" spans="1:67" ht="15" customHeight="1" x14ac:dyDescent="0.4">
      <c r="A95" s="117" t="s">
        <v>427</v>
      </c>
      <c r="B95" s="94" t="s">
        <v>428</v>
      </c>
      <c r="C95" s="94"/>
      <c r="D95" s="94"/>
      <c r="E95" s="94"/>
      <c r="F95" s="94"/>
      <c r="G95" s="118"/>
      <c r="H95" s="4"/>
      <c r="I95" s="109"/>
      <c r="J95" s="110" t="s">
        <v>437</v>
      </c>
      <c r="K95" s="110"/>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row>
    <row r="96" spans="1:67" ht="15" customHeight="1" x14ac:dyDescent="0.4">
      <c r="A96" s="86"/>
      <c r="B96" s="63"/>
      <c r="C96" s="63"/>
      <c r="D96" s="63"/>
      <c r="E96" s="63"/>
      <c r="F96" s="63"/>
      <c r="G96" s="70"/>
      <c r="H96" s="9" t="s">
        <v>438</v>
      </c>
      <c r="I96" s="41"/>
      <c r="J96" s="111">
        <f>(D98+D99+D100+D101+D104+D105+D106)/D108</f>
        <v>61.922240297029703</v>
      </c>
      <c r="K96" s="111"/>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row>
    <row r="97" spans="1:67" ht="15" customHeight="1" x14ac:dyDescent="0.4">
      <c r="A97" s="115" t="s">
        <v>378</v>
      </c>
      <c r="B97" s="63" t="s">
        <v>457</v>
      </c>
      <c r="C97" s="63" t="s">
        <v>380</v>
      </c>
      <c r="D97" s="63" t="s">
        <v>382</v>
      </c>
      <c r="E97" s="63" t="s">
        <v>380</v>
      </c>
      <c r="F97" s="63" t="s">
        <v>383</v>
      </c>
      <c r="G97" s="70" t="s">
        <v>384</v>
      </c>
      <c r="H97" s="86" t="s">
        <v>439</v>
      </c>
      <c r="I97" s="41">
        <f>G98</f>
        <v>4.3951193909126829</v>
      </c>
      <c r="J97" s="111"/>
      <c r="K97" s="111"/>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row>
    <row r="98" spans="1:67" ht="15" customHeight="1" x14ac:dyDescent="0.4">
      <c r="A98" s="86" t="s">
        <v>429</v>
      </c>
      <c r="B98" s="63">
        <v>2.170383E-2</v>
      </c>
      <c r="C98" s="63" t="s">
        <v>279</v>
      </c>
      <c r="D98" s="63">
        <f>($D$108/$B$108)*B98</f>
        <v>1.0744470297029702</v>
      </c>
      <c r="E98" s="63" t="s">
        <v>279</v>
      </c>
      <c r="F98" s="64">
        <f>$F$92</f>
        <v>4.0905873155307706</v>
      </c>
      <c r="G98" s="66">
        <f>F98*D98</f>
        <v>4.3951193909126829</v>
      </c>
      <c r="H98" s="9" t="s">
        <v>441</v>
      </c>
      <c r="I98" s="41">
        <f>SUM(G99:G101)</f>
        <v>0</v>
      </c>
      <c r="J98" s="111"/>
      <c r="K98" s="111"/>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row>
    <row r="99" spans="1:67" ht="15" customHeight="1" x14ac:dyDescent="0.4">
      <c r="A99" s="86" t="s">
        <v>430</v>
      </c>
      <c r="B99" s="63">
        <v>1.3344240000000001E-3</v>
      </c>
      <c r="C99" s="63" t="s">
        <v>279</v>
      </c>
      <c r="D99" s="63">
        <f>($D$108/$B$108)*B99</f>
        <v>6.6060594059405953E-2</v>
      </c>
      <c r="E99" s="63" t="s">
        <v>279</v>
      </c>
      <c r="F99" s="64">
        <f>'A. Databases'!$H$54</f>
        <v>0</v>
      </c>
      <c r="G99" s="66">
        <f>F99*D99</f>
        <v>0</v>
      </c>
      <c r="H99" s="86" t="s">
        <v>443</v>
      </c>
      <c r="I99" s="41">
        <v>0</v>
      </c>
      <c r="J99" s="111"/>
      <c r="K99" s="111"/>
      <c r="L99" s="111"/>
      <c r="M99" s="111"/>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row>
    <row r="100" spans="1:67" ht="15" customHeight="1" x14ac:dyDescent="0.4">
      <c r="A100" s="86" t="s">
        <v>431</v>
      </c>
      <c r="B100" s="63">
        <v>6.0390000000000001E-3</v>
      </c>
      <c r="C100" s="63" t="s">
        <v>279</v>
      </c>
      <c r="D100" s="63">
        <f>($D$108/$B$108)*B100</f>
        <v>0.29896039603960395</v>
      </c>
      <c r="E100" s="63" t="s">
        <v>279</v>
      </c>
      <c r="F100" s="64">
        <f>'A. Databases'!$H$20</f>
        <v>0</v>
      </c>
      <c r="G100" s="66">
        <f>F100*D100</f>
        <v>0</v>
      </c>
      <c r="H100" s="86" t="s">
        <v>445</v>
      </c>
      <c r="I100" s="41">
        <f>SUM(G104:G106)</f>
        <v>0</v>
      </c>
      <c r="J100" s="111"/>
      <c r="K100" s="111"/>
      <c r="L100" s="111"/>
      <c r="M100" s="111"/>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row>
    <row r="101" spans="1:67" ht="15" customHeight="1" x14ac:dyDescent="0.4">
      <c r="A101" s="86" t="s">
        <v>432</v>
      </c>
      <c r="B101" s="63">
        <v>0.47039999999999998</v>
      </c>
      <c r="C101" s="63" t="s">
        <v>279</v>
      </c>
      <c r="D101" s="63">
        <f>($D$108/$B$108)*B101</f>
        <v>23.287128712871286</v>
      </c>
      <c r="E101" s="63" t="s">
        <v>279</v>
      </c>
      <c r="F101" s="64">
        <f>'A. Databases'!$H$59</f>
        <v>0</v>
      </c>
      <c r="G101" s="66">
        <f>F101*D101</f>
        <v>0</v>
      </c>
      <c r="H101" s="9"/>
      <c r="I101" s="41"/>
      <c r="J101" s="111"/>
      <c r="K101" s="111"/>
      <c r="L101" s="111"/>
      <c r="M101" s="111"/>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row>
    <row r="102" spans="1:67" ht="15" customHeight="1" x14ac:dyDescent="0.4">
      <c r="A102" s="86"/>
      <c r="B102" s="63"/>
      <c r="C102" s="63"/>
      <c r="D102" s="63"/>
      <c r="E102" s="63"/>
      <c r="F102" s="64"/>
      <c r="G102" s="66"/>
      <c r="H102" s="9"/>
      <c r="I102" s="41"/>
      <c r="J102" s="111"/>
      <c r="K102" s="111"/>
      <c r="L102" s="111"/>
      <c r="M102" s="111"/>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row>
    <row r="103" spans="1:67" ht="15" customHeight="1" x14ac:dyDescent="0.4">
      <c r="A103" s="115" t="s">
        <v>392</v>
      </c>
      <c r="B103" s="63" t="s">
        <v>379</v>
      </c>
      <c r="C103" s="63" t="s">
        <v>380</v>
      </c>
      <c r="D103" s="63" t="s">
        <v>382</v>
      </c>
      <c r="E103" s="63" t="s">
        <v>380</v>
      </c>
      <c r="F103" s="64"/>
      <c r="G103" s="66"/>
      <c r="H103" s="9"/>
      <c r="I103" s="41"/>
      <c r="J103" s="111"/>
      <c r="K103" s="111"/>
      <c r="L103" s="111"/>
      <c r="M103" s="111"/>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row>
    <row r="104" spans="1:67" ht="15" customHeight="1" x14ac:dyDescent="0.4">
      <c r="A104" s="86" t="s">
        <v>433</v>
      </c>
      <c r="B104" s="63">
        <v>5.9232E-2</v>
      </c>
      <c r="C104" s="63" t="s">
        <v>279</v>
      </c>
      <c r="D104" s="63">
        <f>($D$108/$B$108)*B104</f>
        <v>2.9322772277227722</v>
      </c>
      <c r="E104" s="63" t="s">
        <v>279</v>
      </c>
      <c r="F104" s="64">
        <f>'A. Databases'!$H$47</f>
        <v>0</v>
      </c>
      <c r="G104" s="66">
        <f>F104*D104</f>
        <v>0</v>
      </c>
      <c r="H104" s="9"/>
      <c r="I104" s="41"/>
      <c r="J104" s="111"/>
      <c r="K104" s="111"/>
      <c r="L104" s="111"/>
      <c r="M104" s="111"/>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row>
    <row r="105" spans="1:67" ht="15" customHeight="1" x14ac:dyDescent="0.4">
      <c r="A105" s="86" t="s">
        <v>433</v>
      </c>
      <c r="B105" s="63">
        <v>0.22212000000000001</v>
      </c>
      <c r="C105" s="63" t="s">
        <v>279</v>
      </c>
      <c r="D105" s="63">
        <f>($D$108/$B$108)*B105</f>
        <v>10.996039603960398</v>
      </c>
      <c r="E105" s="63" t="s">
        <v>279</v>
      </c>
      <c r="F105" s="64">
        <f>'A. Databases'!$H$47</f>
        <v>0</v>
      </c>
      <c r="G105" s="66">
        <f>F105*D105</f>
        <v>0</v>
      </c>
      <c r="H105" s="9"/>
      <c r="I105" s="41"/>
      <c r="J105" s="111"/>
      <c r="K105" s="111"/>
      <c r="L105" s="111"/>
      <c r="M105" s="111"/>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row>
    <row r="106" spans="1:67" ht="15" customHeight="1" x14ac:dyDescent="0.4">
      <c r="A106" s="86" t="s">
        <v>434</v>
      </c>
      <c r="B106" s="63">
        <v>0.47</v>
      </c>
      <c r="C106" s="63" t="s">
        <v>279</v>
      </c>
      <c r="D106" s="63">
        <f>($D$108/$B$108)*B106</f>
        <v>23.267326732673265</v>
      </c>
      <c r="E106" s="63" t="s">
        <v>279</v>
      </c>
      <c r="F106" s="64">
        <f>'A. Databases'!$H$38</f>
        <v>0</v>
      </c>
      <c r="G106" s="66">
        <f>F106*D106</f>
        <v>0</v>
      </c>
      <c r="H106" s="9"/>
      <c r="I106" s="41"/>
      <c r="J106" s="111"/>
      <c r="K106" s="111"/>
      <c r="L106" s="111"/>
      <c r="M106" s="111"/>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row>
    <row r="107" spans="1:67" ht="15" customHeight="1" x14ac:dyDescent="0.4">
      <c r="A107" s="115" t="s">
        <v>396</v>
      </c>
      <c r="B107" s="63" t="s">
        <v>379</v>
      </c>
      <c r="C107" s="63" t="s">
        <v>380</v>
      </c>
      <c r="D107" s="63" t="s">
        <v>382</v>
      </c>
      <c r="E107" s="63" t="s">
        <v>380</v>
      </c>
      <c r="F107" s="64"/>
      <c r="G107" s="66"/>
      <c r="H107" s="9"/>
      <c r="I107" s="41"/>
      <c r="J107" s="111"/>
      <c r="K107" s="111"/>
      <c r="L107" s="111"/>
      <c r="M107" s="111"/>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row>
    <row r="108" spans="1:67" ht="15" customHeight="1" x14ac:dyDescent="0.4">
      <c r="A108" s="119" t="s">
        <v>12</v>
      </c>
      <c r="B108" s="74">
        <v>2.0199999999999999E-2</v>
      </c>
      <c r="C108" s="74" t="s">
        <v>279</v>
      </c>
      <c r="D108" s="74">
        <v>1</v>
      </c>
      <c r="E108" s="74" t="s">
        <v>279</v>
      </c>
      <c r="F108" s="75">
        <f>G108</f>
        <v>4.3951193909126829</v>
      </c>
      <c r="G108" s="78">
        <f>SUM(G98,G99,G100,G101,G104,G105,G106)</f>
        <v>4.3951193909126829</v>
      </c>
      <c r="H108" s="24"/>
      <c r="I108" s="45"/>
      <c r="J108" s="111"/>
      <c r="K108" s="111"/>
      <c r="L108" s="111"/>
      <c r="M108" s="111"/>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row>
    <row r="109" spans="1:67" x14ac:dyDescent="0.4">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row>
    <row r="110" spans="1:67" x14ac:dyDescent="0.4">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row>
    <row r="111" spans="1:67" x14ac:dyDescent="0.4">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row>
    <row r="112" spans="1:67" x14ac:dyDescent="0.4">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row>
    <row r="113" spans="17:67" x14ac:dyDescent="0.4">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row>
    <row r="114" spans="17:67" x14ac:dyDescent="0.4">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row>
    <row r="115" spans="17:67" x14ac:dyDescent="0.4">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row>
    <row r="116" spans="17:67" x14ac:dyDescent="0.4">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row>
    <row r="117" spans="17:67" x14ac:dyDescent="0.4">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row>
    <row r="118" spans="17:67" x14ac:dyDescent="0.4">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row>
    <row r="119" spans="17:67" x14ac:dyDescent="0.4">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row>
    <row r="120" spans="17:67" x14ac:dyDescent="0.4">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row>
    <row r="121" spans="17:67" x14ac:dyDescent="0.4">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row>
    <row r="122" spans="17:67" x14ac:dyDescent="0.4">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row>
    <row r="123" spans="17:67" x14ac:dyDescent="0.4">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row>
    <row r="124" spans="17:67" x14ac:dyDescent="0.4">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row>
    <row r="125" spans="17:67" x14ac:dyDescent="0.4">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row>
    <row r="126" spans="17:67" x14ac:dyDescent="0.4">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row>
    <row r="127" spans="17:67" x14ac:dyDescent="0.4">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row>
    <row r="128" spans="17:67" x14ac:dyDescent="0.4">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row>
    <row r="129" spans="1:67" x14ac:dyDescent="0.4">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row>
    <row r="130" spans="1:67" x14ac:dyDescent="0.4">
      <c r="Q130" s="47"/>
      <c r="R130" s="47"/>
      <c r="S130" s="47"/>
      <c r="T130" s="47"/>
      <c r="U130" s="47"/>
      <c r="V130" s="47"/>
      <c r="W130" s="47"/>
      <c r="X130" s="47"/>
      <c r="Y130" s="47"/>
      <c r="Z130" s="47"/>
      <c r="AA130" s="47"/>
      <c r="AB130" s="47"/>
      <c r="AC130" s="47"/>
      <c r="AD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row>
    <row r="131" spans="1:67" x14ac:dyDescent="0.4">
      <c r="Q131" s="47"/>
      <c r="R131" s="47"/>
      <c r="S131" s="47"/>
    </row>
    <row r="132" spans="1:67" x14ac:dyDescent="0.4">
      <c r="Q132" s="47"/>
      <c r="R132" s="47"/>
      <c r="S132" s="47"/>
    </row>
    <row r="133" spans="1:67" x14ac:dyDescent="0.4">
      <c r="Q133" s="47"/>
      <c r="R133" s="47"/>
      <c r="S133" s="47"/>
    </row>
    <row r="134" spans="1:67" x14ac:dyDescent="0.4">
      <c r="Q134" s="47"/>
      <c r="R134" s="47"/>
      <c r="S134" s="47"/>
    </row>
    <row r="135" spans="1:67" x14ac:dyDescent="0.4">
      <c r="Q135" s="47"/>
      <c r="R135" s="47"/>
      <c r="S135" s="47"/>
    </row>
    <row r="136" spans="1:67" x14ac:dyDescent="0.4">
      <c r="Q136" s="47"/>
      <c r="R136" s="47"/>
      <c r="S136" s="47"/>
    </row>
    <row r="137" spans="1:67" x14ac:dyDescent="0.4">
      <c r="Q137" s="47"/>
      <c r="R137" s="47"/>
      <c r="S137" s="47"/>
    </row>
    <row r="138" spans="1:67" x14ac:dyDescent="0.4">
      <c r="Q138" s="47"/>
      <c r="R138" s="47"/>
      <c r="S138" s="47"/>
    </row>
    <row r="139" spans="1:67" x14ac:dyDescent="0.4">
      <c r="Q139" s="47"/>
      <c r="R139" s="47"/>
      <c r="S139" s="47"/>
    </row>
    <row r="140" spans="1:67" x14ac:dyDescent="0.4">
      <c r="Q140" s="47"/>
      <c r="R140" s="47"/>
      <c r="S140" s="47"/>
    </row>
    <row r="141" spans="1:67" x14ac:dyDescent="0.4">
      <c r="A141" s="47"/>
      <c r="B141" s="47"/>
      <c r="C141" s="47"/>
      <c r="D141" s="47"/>
      <c r="E141" s="47"/>
      <c r="F141" s="47"/>
      <c r="G141" s="47"/>
      <c r="H141" s="47"/>
      <c r="I141" s="47"/>
      <c r="J141" s="47"/>
      <c r="K141" s="47"/>
      <c r="L141" s="47"/>
      <c r="M141" s="47"/>
      <c r="N141" s="47"/>
      <c r="O141" s="47"/>
      <c r="P141" s="47"/>
      <c r="Q141" s="47"/>
      <c r="R141" s="47"/>
      <c r="S141" s="47"/>
    </row>
    <row r="142" spans="1:67" x14ac:dyDescent="0.4">
      <c r="A142" s="47"/>
      <c r="B142" s="47"/>
      <c r="C142" s="47"/>
      <c r="D142" s="47"/>
      <c r="E142" s="47"/>
      <c r="F142" s="47"/>
      <c r="G142" s="47"/>
      <c r="H142" s="47"/>
      <c r="I142" s="47"/>
      <c r="J142" s="47"/>
      <c r="K142" s="47"/>
      <c r="L142" s="47"/>
      <c r="M142" s="47"/>
      <c r="N142" s="47"/>
      <c r="O142" s="47"/>
      <c r="P142" s="47"/>
      <c r="Q142" s="47"/>
      <c r="R142" s="47"/>
      <c r="S142" s="47"/>
    </row>
    <row r="143" spans="1:67" x14ac:dyDescent="0.4">
      <c r="A143" s="47"/>
      <c r="B143" s="47"/>
      <c r="C143" s="47"/>
      <c r="D143" s="47"/>
      <c r="E143" s="47"/>
      <c r="F143" s="47"/>
      <c r="G143" s="47"/>
      <c r="H143" s="47"/>
      <c r="I143" s="47"/>
      <c r="J143" s="47"/>
      <c r="K143" s="47"/>
      <c r="L143" s="47"/>
      <c r="M143" s="47"/>
      <c r="N143" s="47"/>
      <c r="O143" s="47"/>
      <c r="P143" s="47"/>
      <c r="Q143" s="47"/>
      <c r="R143" s="47"/>
      <c r="S143" s="47"/>
    </row>
    <row r="144" spans="1:67" x14ac:dyDescent="0.4">
      <c r="A144" s="47"/>
      <c r="B144" s="47"/>
      <c r="C144" s="47"/>
      <c r="D144" s="47"/>
      <c r="E144" s="47"/>
      <c r="F144" s="47"/>
      <c r="G144" s="47"/>
      <c r="H144" s="47"/>
      <c r="I144" s="47"/>
      <c r="J144" s="47"/>
      <c r="K144" s="47"/>
      <c r="L144" s="47"/>
      <c r="M144" s="47"/>
      <c r="N144" s="47"/>
      <c r="O144" s="47"/>
      <c r="P144" s="47"/>
      <c r="Q144" s="47"/>
      <c r="R144" s="47"/>
      <c r="S144" s="47"/>
    </row>
  </sheetData>
  <mergeCells count="7">
    <mergeCell ref="A77:G77"/>
    <mergeCell ref="A93:G93"/>
    <mergeCell ref="A1:G1"/>
    <mergeCell ref="A15:G15"/>
    <mergeCell ref="A31:G31"/>
    <mergeCell ref="A45:G45"/>
    <mergeCell ref="A61:G61"/>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32"/>
  <sheetViews>
    <sheetView topLeftCell="A106" zoomScale="70" zoomScaleNormal="70" workbookViewId="0">
      <selection activeCell="A85" sqref="A85"/>
    </sheetView>
  </sheetViews>
  <sheetFormatPr defaultColWidth="8.69140625" defaultRowHeight="14.6" x14ac:dyDescent="0.4"/>
  <cols>
    <col min="1" max="1" width="18.3828125" customWidth="1"/>
    <col min="10" max="10" width="11.53515625" customWidth="1"/>
    <col min="13" max="13" width="7.3828125" customWidth="1"/>
    <col min="14" max="14" width="9" customWidth="1"/>
    <col min="15" max="15" width="38" customWidth="1"/>
    <col min="16" max="16" width="16.15234375" customWidth="1"/>
    <col min="17" max="17" width="12.3828125" customWidth="1"/>
    <col min="20" max="20" width="12" customWidth="1"/>
    <col min="22" max="22" width="17.15234375" customWidth="1"/>
    <col min="23" max="23" width="17" customWidth="1"/>
    <col min="27" max="27" width="20.53515625" customWidth="1"/>
  </cols>
  <sheetData>
    <row r="1" spans="1:22" x14ac:dyDescent="0.4">
      <c r="A1" s="121" t="s">
        <v>458</v>
      </c>
      <c r="B1" s="121" t="s">
        <v>459</v>
      </c>
      <c r="C1" s="121"/>
      <c r="D1" s="121"/>
      <c r="E1" s="121"/>
      <c r="F1" s="121"/>
      <c r="G1" s="121"/>
      <c r="H1" s="121"/>
      <c r="I1" s="122"/>
      <c r="J1" s="121" t="s">
        <v>395</v>
      </c>
      <c r="K1" s="121" t="s">
        <v>460</v>
      </c>
      <c r="N1" s="123" t="s">
        <v>375</v>
      </c>
      <c r="O1" s="108"/>
      <c r="P1" s="108"/>
      <c r="Q1" s="108"/>
      <c r="R1" s="108"/>
      <c r="S1" s="108"/>
      <c r="T1" s="108"/>
      <c r="U1" s="108"/>
      <c r="V1" s="6"/>
    </row>
    <row r="2" spans="1:22" x14ac:dyDescent="0.4">
      <c r="A2" t="s">
        <v>461</v>
      </c>
      <c r="B2" t="s">
        <v>386</v>
      </c>
      <c r="C2" t="s">
        <v>462</v>
      </c>
      <c r="D2" t="s">
        <v>463</v>
      </c>
      <c r="E2" t="s">
        <v>464</v>
      </c>
      <c r="F2" t="s">
        <v>465</v>
      </c>
      <c r="G2" t="s">
        <v>466</v>
      </c>
      <c r="J2" s="124">
        <v>0.96</v>
      </c>
      <c r="K2" s="2" t="s">
        <v>467</v>
      </c>
      <c r="N2" s="52"/>
      <c r="O2" s="35"/>
      <c r="P2" s="35"/>
      <c r="Q2" s="35"/>
      <c r="R2" s="35"/>
      <c r="S2" s="35"/>
      <c r="T2" s="35"/>
      <c r="U2" s="35"/>
      <c r="V2" s="41"/>
    </row>
    <row r="3" spans="1:22" x14ac:dyDescent="0.4">
      <c r="A3" t="s">
        <v>468</v>
      </c>
      <c r="B3">
        <v>144.06</v>
      </c>
      <c r="C3" t="s">
        <v>469</v>
      </c>
      <c r="F3">
        <v>28</v>
      </c>
      <c r="G3">
        <v>1</v>
      </c>
      <c r="N3" s="125" t="s">
        <v>378</v>
      </c>
      <c r="O3" s="35" t="s">
        <v>379</v>
      </c>
      <c r="P3" s="35" t="s">
        <v>380</v>
      </c>
      <c r="Q3" s="35" t="s">
        <v>381</v>
      </c>
      <c r="R3" s="63" t="s">
        <v>380</v>
      </c>
      <c r="S3" s="35" t="s">
        <v>382</v>
      </c>
      <c r="T3" s="35" t="s">
        <v>380</v>
      </c>
      <c r="U3" s="35" t="s">
        <v>383</v>
      </c>
      <c r="V3" s="41" t="s">
        <v>384</v>
      </c>
    </row>
    <row r="4" spans="1:22" x14ac:dyDescent="0.4">
      <c r="A4" t="s">
        <v>470</v>
      </c>
      <c r="B4">
        <v>270.3</v>
      </c>
      <c r="C4" t="s">
        <v>471</v>
      </c>
      <c r="F4">
        <v>56</v>
      </c>
      <c r="G4">
        <v>2</v>
      </c>
      <c r="N4" s="9" t="s">
        <v>468</v>
      </c>
      <c r="O4" s="35"/>
      <c r="P4" s="35" t="s">
        <v>386</v>
      </c>
      <c r="Q4" s="35"/>
      <c r="R4" s="35"/>
      <c r="S4" s="35">
        <v>4.0299999999999997E-3</v>
      </c>
      <c r="T4" s="35" t="s">
        <v>279</v>
      </c>
      <c r="U4" s="35">
        <f>'A. Databases'!H73</f>
        <v>0</v>
      </c>
      <c r="V4" s="41">
        <f>U4*S4</f>
        <v>0</v>
      </c>
    </row>
    <row r="5" spans="1:22" x14ac:dyDescent="0.4">
      <c r="A5" t="s">
        <v>434</v>
      </c>
      <c r="D5" t="s">
        <v>472</v>
      </c>
      <c r="N5" s="9" t="s">
        <v>470</v>
      </c>
      <c r="O5" s="35"/>
      <c r="P5" s="63" t="s">
        <v>386</v>
      </c>
      <c r="Q5" s="63"/>
      <c r="R5" s="63"/>
      <c r="S5" s="63">
        <v>1.5140000000000001E-2</v>
      </c>
      <c r="T5" s="63" t="s">
        <v>279</v>
      </c>
      <c r="U5" s="35">
        <f>'A. Databases'!H74</f>
        <v>0</v>
      </c>
      <c r="V5" s="41">
        <f>U5*S5</f>
        <v>0</v>
      </c>
    </row>
    <row r="6" spans="1:22" x14ac:dyDescent="0.4">
      <c r="A6" t="s">
        <v>473</v>
      </c>
      <c r="D6" t="s">
        <v>474</v>
      </c>
      <c r="N6" s="52"/>
      <c r="O6" s="35"/>
      <c r="P6" s="35"/>
      <c r="Q6" s="35"/>
      <c r="R6" s="35"/>
      <c r="S6" s="35"/>
      <c r="T6" s="63" t="s">
        <v>279</v>
      </c>
      <c r="U6" s="35"/>
    </row>
    <row r="7" spans="1:22" x14ac:dyDescent="0.4">
      <c r="N7" s="125" t="s">
        <v>392</v>
      </c>
      <c r="O7" s="35" t="s">
        <v>379</v>
      </c>
      <c r="P7" s="35" t="s">
        <v>380</v>
      </c>
      <c r="Q7" s="35"/>
      <c r="R7" s="35"/>
      <c r="S7" s="35" t="s">
        <v>382</v>
      </c>
      <c r="T7" s="35" t="s">
        <v>380</v>
      </c>
      <c r="U7" s="35"/>
    </row>
    <row r="8" spans="1:22" x14ac:dyDescent="0.4">
      <c r="N8" s="9" t="s">
        <v>434</v>
      </c>
      <c r="O8" s="35"/>
      <c r="P8" s="63" t="s">
        <v>279</v>
      </c>
      <c r="Q8" s="63"/>
      <c r="R8" s="63"/>
      <c r="S8" s="63">
        <v>0.2</v>
      </c>
      <c r="T8" s="35" t="s">
        <v>279</v>
      </c>
      <c r="U8" s="35">
        <f>'A. Databases'!H75</f>
        <v>0</v>
      </c>
      <c r="V8" s="41">
        <f>U8*S8</f>
        <v>0</v>
      </c>
    </row>
    <row r="9" spans="1:22" x14ac:dyDescent="0.4">
      <c r="A9" s="121" t="s">
        <v>397</v>
      </c>
      <c r="B9" s="121" t="s">
        <v>475</v>
      </c>
      <c r="C9" s="122"/>
      <c r="D9" s="122"/>
      <c r="E9" s="122"/>
      <c r="F9" s="122"/>
      <c r="G9" s="122"/>
      <c r="H9" s="122"/>
      <c r="I9" s="122"/>
      <c r="J9" s="121" t="s">
        <v>395</v>
      </c>
      <c r="K9" s="121" t="s">
        <v>460</v>
      </c>
      <c r="N9" s="9" t="s">
        <v>473</v>
      </c>
      <c r="O9" s="35"/>
      <c r="P9" s="35"/>
      <c r="Q9" s="35"/>
      <c r="R9" s="35"/>
      <c r="S9" s="63">
        <v>0.04</v>
      </c>
      <c r="T9" s="35" t="s">
        <v>279</v>
      </c>
      <c r="U9" s="35">
        <f>'A. Databases'!H76</f>
        <v>0</v>
      </c>
      <c r="V9" s="41">
        <f>U9*S9</f>
        <v>0</v>
      </c>
    </row>
    <row r="10" spans="1:22" x14ac:dyDescent="0.4">
      <c r="A10" t="s">
        <v>461</v>
      </c>
      <c r="B10" t="s">
        <v>386</v>
      </c>
      <c r="C10" t="s">
        <v>462</v>
      </c>
      <c r="D10" t="s">
        <v>463</v>
      </c>
      <c r="E10" t="s">
        <v>464</v>
      </c>
      <c r="F10" t="s">
        <v>465</v>
      </c>
      <c r="G10" t="s">
        <v>466</v>
      </c>
      <c r="I10" t="s">
        <v>476</v>
      </c>
      <c r="J10" s="124" t="s">
        <v>477</v>
      </c>
      <c r="K10" s="2" t="s">
        <v>478</v>
      </c>
      <c r="N10" s="68" t="s">
        <v>395</v>
      </c>
      <c r="O10" s="69"/>
      <c r="P10" s="63"/>
      <c r="Q10" s="63"/>
      <c r="R10" s="63"/>
      <c r="S10" s="63"/>
      <c r="T10" s="63"/>
      <c r="U10" s="63"/>
      <c r="V10" s="70"/>
    </row>
    <row r="11" spans="1:22" x14ac:dyDescent="0.4">
      <c r="A11" t="s">
        <v>479</v>
      </c>
      <c r="B11">
        <v>286.10000000000002</v>
      </c>
      <c r="C11" t="s">
        <v>480</v>
      </c>
      <c r="F11">
        <v>80</v>
      </c>
      <c r="G11">
        <v>1</v>
      </c>
      <c r="N11" s="68" t="s">
        <v>396</v>
      </c>
      <c r="O11" s="63" t="s">
        <v>379</v>
      </c>
      <c r="P11" s="63" t="s">
        <v>380</v>
      </c>
      <c r="Q11" s="63"/>
      <c r="R11" s="63"/>
      <c r="S11" s="63" t="s">
        <v>382</v>
      </c>
      <c r="T11" s="63" t="s">
        <v>380</v>
      </c>
      <c r="U11" s="63"/>
      <c r="V11" s="70"/>
    </row>
    <row r="12" spans="1:22" x14ac:dyDescent="0.4">
      <c r="A12" t="s">
        <v>481</v>
      </c>
      <c r="B12">
        <v>420.2</v>
      </c>
      <c r="C12" t="s">
        <v>482</v>
      </c>
      <c r="F12">
        <v>44</v>
      </c>
      <c r="G12">
        <v>0.55000000000000004</v>
      </c>
      <c r="N12" s="73" t="s">
        <v>479</v>
      </c>
      <c r="O12" s="74"/>
      <c r="P12" s="74" t="s">
        <v>386</v>
      </c>
      <c r="Q12" s="74"/>
      <c r="R12" s="74" t="s">
        <v>387</v>
      </c>
      <c r="S12" s="74">
        <v>3.8E-3</v>
      </c>
      <c r="T12" s="74" t="s">
        <v>279</v>
      </c>
      <c r="U12" s="126">
        <f>V12/S12</f>
        <v>0</v>
      </c>
      <c r="V12" s="127">
        <f>SUM(V4:V11)</f>
        <v>0</v>
      </c>
    </row>
    <row r="13" spans="1:22" x14ac:dyDescent="0.4">
      <c r="A13" t="s">
        <v>483</v>
      </c>
      <c r="D13" t="s">
        <v>484</v>
      </c>
    </row>
    <row r="14" spans="1:22" x14ac:dyDescent="0.4">
      <c r="A14" t="s">
        <v>485</v>
      </c>
      <c r="D14" t="s">
        <v>484</v>
      </c>
    </row>
    <row r="15" spans="1:22" x14ac:dyDescent="0.4">
      <c r="A15" t="s">
        <v>486</v>
      </c>
      <c r="D15" t="s">
        <v>472</v>
      </c>
    </row>
    <row r="16" spans="1:22" x14ac:dyDescent="0.4">
      <c r="A16" t="s">
        <v>487</v>
      </c>
      <c r="D16" t="s">
        <v>488</v>
      </c>
    </row>
    <row r="17" spans="1:22" x14ac:dyDescent="0.4">
      <c r="A17" s="121" t="s">
        <v>489</v>
      </c>
      <c r="B17" s="122"/>
      <c r="C17" s="122"/>
      <c r="D17" s="122"/>
      <c r="E17" s="122"/>
      <c r="F17" s="122"/>
      <c r="G17" s="122"/>
      <c r="H17" s="122"/>
      <c r="I17" s="122"/>
      <c r="J17" s="122"/>
      <c r="K17" s="122"/>
    </row>
    <row r="18" spans="1:22" x14ac:dyDescent="0.4">
      <c r="A18" t="s">
        <v>483</v>
      </c>
      <c r="D18" t="s">
        <v>490</v>
      </c>
      <c r="I18" t="s">
        <v>491</v>
      </c>
      <c r="J18" t="s">
        <v>492</v>
      </c>
      <c r="K18" t="s">
        <v>493</v>
      </c>
      <c r="N18" s="123" t="s">
        <v>397</v>
      </c>
      <c r="O18" s="108"/>
      <c r="P18" s="108"/>
      <c r="Q18" s="108"/>
      <c r="R18" s="108"/>
      <c r="S18" s="108"/>
      <c r="T18" s="108"/>
      <c r="U18" s="108"/>
      <c r="V18" s="6"/>
    </row>
    <row r="19" spans="1:22" x14ac:dyDescent="0.4">
      <c r="A19" t="s">
        <v>494</v>
      </c>
      <c r="D19" t="s">
        <v>495</v>
      </c>
      <c r="N19" s="52"/>
      <c r="O19" s="35"/>
      <c r="P19" s="35"/>
      <c r="Q19" s="35"/>
      <c r="R19" s="35"/>
      <c r="S19" s="35"/>
      <c r="T19" s="35"/>
      <c r="U19" s="35"/>
      <c r="V19" s="41"/>
    </row>
    <row r="20" spans="1:22" x14ac:dyDescent="0.4">
      <c r="A20" t="s">
        <v>485</v>
      </c>
      <c r="D20" t="s">
        <v>484</v>
      </c>
      <c r="N20" s="125" t="s">
        <v>378</v>
      </c>
      <c r="O20" s="35" t="s">
        <v>379</v>
      </c>
      <c r="P20" s="35" t="s">
        <v>380</v>
      </c>
      <c r="Q20" s="35" t="s">
        <v>381</v>
      </c>
      <c r="R20" s="63" t="s">
        <v>380</v>
      </c>
      <c r="S20" s="35" t="s">
        <v>382</v>
      </c>
      <c r="T20" s="35" t="s">
        <v>380</v>
      </c>
      <c r="U20" s="35" t="s">
        <v>383</v>
      </c>
      <c r="V20" s="41" t="s">
        <v>384</v>
      </c>
    </row>
    <row r="21" spans="1:22" x14ac:dyDescent="0.4">
      <c r="A21" t="s">
        <v>486</v>
      </c>
      <c r="D21" t="s">
        <v>484</v>
      </c>
      <c r="N21" s="9" t="s">
        <v>479</v>
      </c>
      <c r="O21" s="35"/>
      <c r="P21" s="35" t="s">
        <v>386</v>
      </c>
      <c r="Q21" s="35"/>
      <c r="R21" s="35"/>
      <c r="S21" s="35">
        <v>2.3E-2</v>
      </c>
      <c r="T21" s="35" t="s">
        <v>279</v>
      </c>
      <c r="U21" s="35">
        <f>U12</f>
        <v>0</v>
      </c>
      <c r="V21" s="41">
        <f>U21*S21</f>
        <v>0</v>
      </c>
    </row>
    <row r="22" spans="1:22" x14ac:dyDescent="0.4">
      <c r="A22" t="s">
        <v>487</v>
      </c>
      <c r="D22" t="s">
        <v>496</v>
      </c>
      <c r="N22" s="9" t="s">
        <v>481</v>
      </c>
      <c r="O22" s="35"/>
      <c r="P22" s="63" t="s">
        <v>386</v>
      </c>
      <c r="Q22" s="63"/>
      <c r="R22" s="63"/>
      <c r="S22" s="35">
        <v>1.8599999999999998E-2</v>
      </c>
      <c r="T22" s="63" t="s">
        <v>279</v>
      </c>
      <c r="U22" s="35"/>
      <c r="V22" s="41"/>
    </row>
    <row r="23" spans="1:22" x14ac:dyDescent="0.4">
      <c r="N23" s="9"/>
      <c r="O23" s="35"/>
      <c r="P23" s="63"/>
      <c r="Q23" s="63"/>
      <c r="R23" s="63"/>
      <c r="S23" s="63"/>
      <c r="T23" s="63"/>
      <c r="U23" s="35"/>
      <c r="V23" s="41"/>
    </row>
    <row r="24" spans="1:22" x14ac:dyDescent="0.4">
      <c r="N24" s="9"/>
      <c r="O24" s="35"/>
      <c r="P24" s="63"/>
      <c r="Q24" s="63"/>
      <c r="R24" s="63"/>
      <c r="S24" s="63"/>
      <c r="T24" s="63"/>
      <c r="U24" s="35"/>
      <c r="V24" s="41"/>
    </row>
    <row r="25" spans="1:22" x14ac:dyDescent="0.4">
      <c r="A25" s="121" t="s">
        <v>400</v>
      </c>
      <c r="B25" s="121" t="s">
        <v>497</v>
      </c>
      <c r="C25" s="122"/>
      <c r="D25" s="122"/>
      <c r="E25" s="122"/>
      <c r="F25" s="122"/>
      <c r="G25" s="122"/>
      <c r="H25" s="122"/>
      <c r="I25" s="122"/>
      <c r="J25" s="121" t="s">
        <v>395</v>
      </c>
      <c r="K25" s="121" t="s">
        <v>460</v>
      </c>
      <c r="N25" s="52"/>
      <c r="O25" s="35"/>
      <c r="P25" s="35"/>
      <c r="Q25" s="35"/>
      <c r="R25" s="35"/>
      <c r="S25" s="35"/>
      <c r="T25" s="63"/>
      <c r="U25" s="35"/>
      <c r="V25" s="41"/>
    </row>
    <row r="26" spans="1:22" x14ac:dyDescent="0.4">
      <c r="A26" t="s">
        <v>461</v>
      </c>
      <c r="B26" t="s">
        <v>386</v>
      </c>
      <c r="C26" t="s">
        <v>462</v>
      </c>
      <c r="D26" t="s">
        <v>463</v>
      </c>
      <c r="E26" t="s">
        <v>464</v>
      </c>
      <c r="F26" t="s">
        <v>465</v>
      </c>
      <c r="G26" t="s">
        <v>466</v>
      </c>
      <c r="J26" s="124">
        <v>1</v>
      </c>
      <c r="K26" s="2" t="s">
        <v>498</v>
      </c>
      <c r="N26" s="125" t="s">
        <v>392</v>
      </c>
      <c r="O26" s="35" t="s">
        <v>379</v>
      </c>
      <c r="P26" s="35" t="s">
        <v>380</v>
      </c>
      <c r="Q26" s="35"/>
      <c r="R26" s="35"/>
      <c r="S26" s="35" t="s">
        <v>382</v>
      </c>
      <c r="T26" s="35" t="s">
        <v>380</v>
      </c>
      <c r="U26" s="35"/>
      <c r="V26" s="41"/>
    </row>
    <row r="27" spans="1:22" x14ac:dyDescent="0.4">
      <c r="A27" t="s">
        <v>479</v>
      </c>
      <c r="B27">
        <v>286.10000000000002</v>
      </c>
      <c r="C27" t="s">
        <v>499</v>
      </c>
      <c r="F27">
        <v>33.200000000000003</v>
      </c>
      <c r="G27">
        <v>1</v>
      </c>
      <c r="N27" s="9" t="s">
        <v>483</v>
      </c>
      <c r="O27" s="35" t="s">
        <v>484</v>
      </c>
      <c r="P27" s="63" t="s">
        <v>500</v>
      </c>
      <c r="Q27" s="63"/>
      <c r="R27" s="63"/>
      <c r="S27" s="63">
        <v>0.3</v>
      </c>
      <c r="T27" s="35" t="s">
        <v>279</v>
      </c>
      <c r="U27" s="35">
        <f>'A. Databases'!H77</f>
        <v>0</v>
      </c>
      <c r="V27" s="41">
        <f t="shared" ref="V27:V34" si="0">U27*S27</f>
        <v>0</v>
      </c>
    </row>
    <row r="28" spans="1:22" x14ac:dyDescent="0.4">
      <c r="A28" t="s">
        <v>247</v>
      </c>
      <c r="B28">
        <v>80</v>
      </c>
      <c r="D28">
        <v>5.54</v>
      </c>
      <c r="E28">
        <v>1.06</v>
      </c>
      <c r="F28">
        <v>73</v>
      </c>
      <c r="G28">
        <v>2.2000000000000002</v>
      </c>
      <c r="N28" s="9" t="s">
        <v>485</v>
      </c>
      <c r="O28" s="35" t="s">
        <v>484</v>
      </c>
      <c r="P28" s="63" t="s">
        <v>500</v>
      </c>
      <c r="Q28" s="63"/>
      <c r="R28" s="63"/>
      <c r="S28" s="63">
        <v>0.3</v>
      </c>
      <c r="T28" s="35" t="s">
        <v>279</v>
      </c>
      <c r="U28" s="35">
        <f>'A. Databases'!H78</f>
        <v>0</v>
      </c>
      <c r="V28" s="41">
        <f t="shared" si="0"/>
        <v>0</v>
      </c>
    </row>
    <row r="29" spans="1:22" x14ac:dyDescent="0.4">
      <c r="A29" s="40" t="s">
        <v>501</v>
      </c>
      <c r="B29" s="40"/>
      <c r="C29" s="40">
        <v>2.92</v>
      </c>
      <c r="D29" s="40"/>
      <c r="E29" s="40"/>
      <c r="F29" s="40">
        <v>73</v>
      </c>
      <c r="G29" s="40">
        <v>2.2000000000000002</v>
      </c>
      <c r="H29" s="40"/>
      <c r="I29" s="40"/>
      <c r="J29" s="40"/>
      <c r="K29" s="40"/>
      <c r="N29" s="9" t="s">
        <v>486</v>
      </c>
      <c r="O29" s="35" t="s">
        <v>472</v>
      </c>
      <c r="P29" s="63" t="s">
        <v>500</v>
      </c>
      <c r="Q29" s="63"/>
      <c r="R29" s="63"/>
      <c r="S29" s="63">
        <v>0.2</v>
      </c>
      <c r="T29" s="35" t="s">
        <v>279</v>
      </c>
      <c r="U29" s="35">
        <f>'A. Databases'!H79/16</f>
        <v>0</v>
      </c>
      <c r="V29" s="41">
        <f t="shared" si="0"/>
        <v>0</v>
      </c>
    </row>
    <row r="30" spans="1:22" x14ac:dyDescent="0.4">
      <c r="A30" s="40" t="s">
        <v>502</v>
      </c>
      <c r="B30" s="40"/>
      <c r="C30" s="40"/>
      <c r="D30" s="40" t="s">
        <v>472</v>
      </c>
      <c r="E30" s="40"/>
      <c r="F30" s="40"/>
      <c r="G30" s="40"/>
      <c r="H30" s="40"/>
      <c r="I30" s="40"/>
      <c r="J30" s="40"/>
      <c r="K30" s="40"/>
      <c r="N30" s="9" t="s">
        <v>487</v>
      </c>
      <c r="O30" s="35" t="s">
        <v>488</v>
      </c>
      <c r="P30" s="63" t="s">
        <v>500</v>
      </c>
      <c r="Q30" s="63"/>
      <c r="R30" s="63"/>
      <c r="S30" s="63">
        <v>1</v>
      </c>
      <c r="T30" s="35" t="s">
        <v>279</v>
      </c>
      <c r="U30" s="35">
        <f>'A. Databases'!H81</f>
        <v>0</v>
      </c>
      <c r="V30" s="41">
        <f t="shared" si="0"/>
        <v>0</v>
      </c>
    </row>
    <row r="31" spans="1:22" x14ac:dyDescent="0.4">
      <c r="A31" t="s">
        <v>503</v>
      </c>
      <c r="D31" t="s">
        <v>490</v>
      </c>
      <c r="N31" s="9" t="s">
        <v>483</v>
      </c>
      <c r="O31" s="35" t="s">
        <v>490</v>
      </c>
      <c r="P31" s="63" t="s">
        <v>500</v>
      </c>
      <c r="Q31" s="63"/>
      <c r="R31" s="63"/>
      <c r="S31" s="63">
        <v>0.05</v>
      </c>
      <c r="T31" s="35" t="s">
        <v>279</v>
      </c>
      <c r="U31" s="35">
        <f>'A. Databases'!H77</f>
        <v>0</v>
      </c>
      <c r="V31" s="41">
        <f t="shared" si="0"/>
        <v>0</v>
      </c>
    </row>
    <row r="32" spans="1:22" x14ac:dyDescent="0.4">
      <c r="A32" t="s">
        <v>504</v>
      </c>
      <c r="D32" t="s">
        <v>496</v>
      </c>
      <c r="N32" s="9" t="s">
        <v>494</v>
      </c>
      <c r="O32" s="35" t="s">
        <v>495</v>
      </c>
      <c r="P32" s="63" t="s">
        <v>500</v>
      </c>
      <c r="Q32" s="63"/>
      <c r="R32" s="63"/>
      <c r="S32" s="63">
        <v>0.12</v>
      </c>
      <c r="T32" s="35" t="s">
        <v>279</v>
      </c>
      <c r="U32" s="35">
        <f>'A. Databases'!H80</f>
        <v>0</v>
      </c>
      <c r="V32" s="41">
        <f t="shared" si="0"/>
        <v>0</v>
      </c>
    </row>
    <row r="33" spans="1:28" x14ac:dyDescent="0.4">
      <c r="A33" t="s">
        <v>487</v>
      </c>
      <c r="D33" t="s">
        <v>490</v>
      </c>
      <c r="N33" s="9" t="s">
        <v>485</v>
      </c>
      <c r="O33" s="35" t="s">
        <v>484</v>
      </c>
      <c r="P33" s="63" t="s">
        <v>500</v>
      </c>
      <c r="Q33" s="63"/>
      <c r="R33" s="63"/>
      <c r="S33" s="63">
        <v>0.3</v>
      </c>
      <c r="T33" s="35" t="s">
        <v>279</v>
      </c>
      <c r="U33" s="35">
        <f>'A. Databases'!H78</f>
        <v>0</v>
      </c>
      <c r="V33" s="41">
        <f t="shared" si="0"/>
        <v>0</v>
      </c>
    </row>
    <row r="34" spans="1:28" x14ac:dyDescent="0.4">
      <c r="N34" s="9" t="s">
        <v>486</v>
      </c>
      <c r="O34" s="35" t="s">
        <v>484</v>
      </c>
      <c r="P34" s="63" t="s">
        <v>500</v>
      </c>
      <c r="Q34" s="63"/>
      <c r="R34" s="63"/>
      <c r="S34" s="63">
        <v>0.3</v>
      </c>
      <c r="T34" s="35" t="s">
        <v>279</v>
      </c>
      <c r="U34" s="35">
        <f>'A. Databases'!H79/16</f>
        <v>0</v>
      </c>
      <c r="V34" s="41">
        <f t="shared" si="0"/>
        <v>0</v>
      </c>
    </row>
    <row r="35" spans="1:28" x14ac:dyDescent="0.4">
      <c r="A35" t="s">
        <v>505</v>
      </c>
      <c r="N35" s="9"/>
      <c r="O35" s="35"/>
      <c r="P35" s="63"/>
      <c r="Q35" s="63"/>
      <c r="R35" s="63"/>
      <c r="S35" s="63"/>
      <c r="T35" s="35"/>
      <c r="U35" s="35"/>
      <c r="V35" s="41"/>
    </row>
    <row r="36" spans="1:28" x14ac:dyDescent="0.4">
      <c r="N36" s="9"/>
      <c r="O36" s="35"/>
      <c r="P36" s="35"/>
      <c r="Q36" s="35"/>
      <c r="R36" s="35"/>
      <c r="S36" s="35"/>
      <c r="T36" s="35"/>
      <c r="U36" s="35"/>
      <c r="V36" s="41"/>
    </row>
    <row r="37" spans="1:28" x14ac:dyDescent="0.4">
      <c r="A37" s="121" t="s">
        <v>404</v>
      </c>
      <c r="B37" s="121" t="s">
        <v>506</v>
      </c>
      <c r="C37" s="122"/>
      <c r="D37" s="122"/>
      <c r="E37" s="122"/>
      <c r="F37" s="122"/>
      <c r="G37" s="122"/>
      <c r="H37" s="122"/>
      <c r="I37" s="122"/>
      <c r="J37" s="121" t="s">
        <v>395</v>
      </c>
      <c r="K37" s="121" t="s">
        <v>460</v>
      </c>
      <c r="N37" s="68" t="s">
        <v>395</v>
      </c>
      <c r="O37" s="69"/>
      <c r="P37" s="63"/>
      <c r="Q37" s="63"/>
      <c r="R37" s="63"/>
      <c r="S37" s="63"/>
      <c r="T37" s="63"/>
      <c r="U37" s="63"/>
      <c r="V37" s="70"/>
    </row>
    <row r="38" spans="1:28" x14ac:dyDescent="0.4">
      <c r="A38" t="s">
        <v>461</v>
      </c>
      <c r="B38" t="s">
        <v>386</v>
      </c>
      <c r="C38" t="s">
        <v>462</v>
      </c>
      <c r="D38" t="s">
        <v>463</v>
      </c>
      <c r="E38" t="s">
        <v>464</v>
      </c>
      <c r="F38" t="s">
        <v>465</v>
      </c>
      <c r="G38" t="s">
        <v>466</v>
      </c>
      <c r="J38" s="124">
        <v>0.9</v>
      </c>
      <c r="K38">
        <v>15.03</v>
      </c>
      <c r="N38" s="68" t="s">
        <v>396</v>
      </c>
      <c r="O38" s="63" t="s">
        <v>379</v>
      </c>
      <c r="P38" s="63" t="s">
        <v>380</v>
      </c>
      <c r="Q38" s="63"/>
      <c r="R38" s="63"/>
      <c r="S38" s="63" t="s">
        <v>382</v>
      </c>
      <c r="T38" s="63" t="s">
        <v>380</v>
      </c>
      <c r="U38" s="63"/>
      <c r="V38" s="70"/>
      <c r="W38" s="15"/>
      <c r="X38" s="15"/>
      <c r="Y38" s="15"/>
      <c r="Z38" s="15"/>
      <c r="AA38" s="15"/>
      <c r="AB38" s="15"/>
    </row>
    <row r="39" spans="1:28" x14ac:dyDescent="0.4">
      <c r="A39" t="s">
        <v>507</v>
      </c>
      <c r="B39">
        <v>374.15</v>
      </c>
      <c r="C39" t="s">
        <v>508</v>
      </c>
      <c r="F39">
        <v>26.7</v>
      </c>
      <c r="G39">
        <v>1</v>
      </c>
      <c r="N39" s="73"/>
      <c r="O39" s="74"/>
      <c r="P39" s="74" t="s">
        <v>386</v>
      </c>
      <c r="Q39" s="74"/>
      <c r="R39" s="74" t="s">
        <v>387</v>
      </c>
      <c r="S39" s="74">
        <v>1.0160000000000001E-2</v>
      </c>
      <c r="T39" s="74" t="s">
        <v>279</v>
      </c>
      <c r="U39" s="126">
        <f>V39/S39/2</f>
        <v>0</v>
      </c>
      <c r="V39" s="127">
        <f>SUM(V21:V37)</f>
        <v>0</v>
      </c>
      <c r="W39" s="15" t="s">
        <v>509</v>
      </c>
      <c r="X39" s="15"/>
      <c r="Y39" s="15"/>
      <c r="Z39" s="15"/>
      <c r="AA39" s="15"/>
      <c r="AB39" s="15"/>
    </row>
    <row r="40" spans="1:28" x14ac:dyDescent="0.4">
      <c r="A40" t="s">
        <v>510</v>
      </c>
      <c r="D40" t="s">
        <v>484</v>
      </c>
    </row>
    <row r="41" spans="1:28" x14ac:dyDescent="0.4">
      <c r="A41" s="40" t="s">
        <v>511</v>
      </c>
      <c r="B41" s="40"/>
      <c r="C41" s="40"/>
      <c r="D41" s="40" t="s">
        <v>512</v>
      </c>
      <c r="E41" s="40"/>
      <c r="F41" s="40">
        <v>80</v>
      </c>
      <c r="G41" s="40">
        <v>3</v>
      </c>
      <c r="H41" s="40"/>
      <c r="I41" s="40"/>
      <c r="J41" s="40"/>
      <c r="K41" s="40"/>
      <c r="M41" s="128"/>
      <c r="N41" s="128"/>
      <c r="O41" s="128"/>
      <c r="P41" s="128"/>
      <c r="Q41" s="128"/>
      <c r="R41" s="128"/>
      <c r="S41" s="128"/>
    </row>
    <row r="42" spans="1:28" x14ac:dyDescent="0.4">
      <c r="A42" s="40" t="s">
        <v>513</v>
      </c>
      <c r="B42" s="40"/>
      <c r="C42" s="40"/>
      <c r="D42" s="40" t="s">
        <v>514</v>
      </c>
      <c r="E42" s="40"/>
      <c r="F42" s="40">
        <v>106.8</v>
      </c>
      <c r="G42" s="40">
        <v>4</v>
      </c>
      <c r="H42" s="40"/>
      <c r="I42" s="40"/>
      <c r="J42" s="40"/>
      <c r="K42" s="40"/>
      <c r="M42" s="128"/>
      <c r="N42" s="128"/>
      <c r="O42" s="128"/>
      <c r="P42" s="128"/>
      <c r="Q42" s="128"/>
      <c r="R42" s="128"/>
      <c r="S42" s="128"/>
    </row>
    <row r="43" spans="1:28" x14ac:dyDescent="0.4">
      <c r="A43" s="40" t="s">
        <v>503</v>
      </c>
      <c r="B43" s="40"/>
      <c r="C43" s="40"/>
      <c r="D43" s="40" t="s">
        <v>515</v>
      </c>
      <c r="E43" s="40"/>
      <c r="F43" s="40"/>
      <c r="G43" s="40"/>
      <c r="H43" s="40"/>
      <c r="I43" s="40"/>
      <c r="J43" s="40"/>
      <c r="K43" s="40"/>
      <c r="M43" s="128"/>
      <c r="N43" s="129" t="s">
        <v>400</v>
      </c>
      <c r="O43" s="130"/>
      <c r="P43" s="130"/>
      <c r="Q43" s="130"/>
      <c r="R43" s="130"/>
      <c r="S43" s="130"/>
      <c r="T43" s="108"/>
      <c r="U43" s="108"/>
      <c r="V43" s="6"/>
    </row>
    <row r="44" spans="1:28" x14ac:dyDescent="0.4">
      <c r="A44" t="s">
        <v>516</v>
      </c>
      <c r="D44" t="s">
        <v>515</v>
      </c>
      <c r="M44" s="128"/>
      <c r="N44" s="131"/>
      <c r="O44" s="114"/>
      <c r="P44" s="114"/>
      <c r="Q44" s="114"/>
      <c r="R44" s="114"/>
      <c r="S44" s="114"/>
      <c r="T44" s="35"/>
      <c r="U44" s="35"/>
      <c r="V44" s="41"/>
    </row>
    <row r="45" spans="1:28" x14ac:dyDescent="0.4">
      <c r="M45" s="128"/>
      <c r="N45" s="132" t="s">
        <v>378</v>
      </c>
      <c r="O45" s="114" t="s">
        <v>379</v>
      </c>
      <c r="P45" s="114" t="s">
        <v>380</v>
      </c>
      <c r="Q45" s="114" t="s">
        <v>381</v>
      </c>
      <c r="R45" s="99" t="s">
        <v>380</v>
      </c>
      <c r="S45" s="114" t="s">
        <v>382</v>
      </c>
      <c r="T45" s="35" t="s">
        <v>380</v>
      </c>
      <c r="U45" s="35" t="s">
        <v>383</v>
      </c>
      <c r="V45" s="41" t="s">
        <v>384</v>
      </c>
    </row>
    <row r="46" spans="1:28" x14ac:dyDescent="0.4">
      <c r="M46" s="128"/>
      <c r="N46" s="133" t="s">
        <v>479</v>
      </c>
      <c r="O46" s="114"/>
      <c r="P46" s="114" t="s">
        <v>386</v>
      </c>
      <c r="Q46" s="114"/>
      <c r="R46" s="114"/>
      <c r="S46" s="114">
        <v>9.4999999999999998E-3</v>
      </c>
      <c r="T46" s="35" t="s">
        <v>279</v>
      </c>
      <c r="U46" s="35">
        <f>U39</f>
        <v>0</v>
      </c>
      <c r="V46" s="41">
        <f>U46*S46</f>
        <v>0</v>
      </c>
    </row>
    <row r="47" spans="1:28" x14ac:dyDescent="0.4">
      <c r="A47" s="121" t="s">
        <v>411</v>
      </c>
      <c r="B47" s="121" t="s">
        <v>517</v>
      </c>
      <c r="C47" s="122"/>
      <c r="D47" s="122"/>
      <c r="E47" s="122"/>
      <c r="F47" s="122"/>
      <c r="G47" s="122"/>
      <c r="H47" s="122"/>
      <c r="I47" s="122"/>
      <c r="J47" s="121" t="s">
        <v>395</v>
      </c>
      <c r="K47" s="121" t="s">
        <v>460</v>
      </c>
      <c r="M47" s="128"/>
      <c r="N47" s="133" t="s">
        <v>247</v>
      </c>
      <c r="O47" s="114"/>
      <c r="P47" s="99" t="s">
        <v>386</v>
      </c>
      <c r="Q47" s="99"/>
      <c r="R47" s="99"/>
      <c r="S47" s="99">
        <f>0.08*0.073</f>
        <v>5.8399999999999997E-3</v>
      </c>
      <c r="T47" s="63" t="s">
        <v>279</v>
      </c>
      <c r="U47" s="35">
        <f>'A. Databases'!H82</f>
        <v>0</v>
      </c>
      <c r="V47" s="41">
        <f>U47*S47</f>
        <v>0</v>
      </c>
    </row>
    <row r="48" spans="1:28" x14ac:dyDescent="0.4">
      <c r="A48" t="s">
        <v>461</v>
      </c>
      <c r="B48" t="s">
        <v>386</v>
      </c>
      <c r="C48" t="s">
        <v>462</v>
      </c>
      <c r="D48" t="s">
        <v>463</v>
      </c>
      <c r="E48" t="s">
        <v>464</v>
      </c>
      <c r="F48" t="s">
        <v>465</v>
      </c>
      <c r="G48" t="s">
        <v>466</v>
      </c>
      <c r="J48">
        <v>99</v>
      </c>
      <c r="M48" s="128"/>
      <c r="N48" s="133" t="s">
        <v>501</v>
      </c>
      <c r="O48" s="114"/>
      <c r="P48" s="99"/>
      <c r="Q48" s="99"/>
      <c r="R48" s="99"/>
      <c r="S48" s="99">
        <v>2.0200000000000001E-3</v>
      </c>
      <c r="T48" s="63" t="s">
        <v>279</v>
      </c>
      <c r="U48" s="35">
        <f>'B.4. Precursors'!I113</f>
        <v>0</v>
      </c>
      <c r="V48" s="41">
        <f>U48*S48</f>
        <v>0</v>
      </c>
    </row>
    <row r="49" spans="1:22" x14ac:dyDescent="0.4">
      <c r="A49" t="s">
        <v>518</v>
      </c>
      <c r="B49">
        <v>626.32000000000005</v>
      </c>
      <c r="C49" t="s">
        <v>519</v>
      </c>
      <c r="F49">
        <v>3.58</v>
      </c>
      <c r="G49">
        <v>1</v>
      </c>
      <c r="M49" s="128"/>
      <c r="N49" s="133"/>
      <c r="O49" s="114"/>
      <c r="P49" s="99"/>
      <c r="Q49" s="99"/>
      <c r="R49" s="99"/>
      <c r="S49" s="99"/>
      <c r="T49" s="63"/>
      <c r="U49" s="35"/>
      <c r="V49" s="41"/>
    </row>
    <row r="50" spans="1:22" x14ac:dyDescent="0.4">
      <c r="A50" s="40" t="s">
        <v>520</v>
      </c>
      <c r="B50" s="40"/>
      <c r="C50" s="40" t="s">
        <v>521</v>
      </c>
      <c r="D50" s="40"/>
      <c r="E50" s="40"/>
      <c r="F50" s="40" t="s">
        <v>522</v>
      </c>
      <c r="G50" s="40">
        <v>2.7</v>
      </c>
      <c r="H50" s="40"/>
      <c r="I50" s="40"/>
      <c r="J50" s="40"/>
      <c r="K50" s="40"/>
      <c r="M50" s="128"/>
      <c r="N50" s="131"/>
      <c r="O50" s="114"/>
      <c r="P50" s="114"/>
      <c r="Q50" s="114"/>
      <c r="R50" s="114"/>
      <c r="S50" s="114"/>
      <c r="T50" s="63"/>
      <c r="U50" s="35"/>
      <c r="V50" s="41"/>
    </row>
    <row r="51" spans="1:22" x14ac:dyDescent="0.4">
      <c r="A51" s="40" t="s">
        <v>523</v>
      </c>
      <c r="B51" s="40"/>
      <c r="C51" s="40"/>
      <c r="D51" s="40" t="s">
        <v>524</v>
      </c>
      <c r="E51" s="40"/>
      <c r="F51" s="40"/>
      <c r="G51" s="40"/>
      <c r="H51" s="40"/>
      <c r="I51" s="40"/>
      <c r="J51" s="40"/>
      <c r="K51" s="40"/>
      <c r="M51" s="128"/>
      <c r="N51" s="132" t="s">
        <v>392</v>
      </c>
      <c r="O51" s="114" t="s">
        <v>379</v>
      </c>
      <c r="P51" s="114" t="s">
        <v>380</v>
      </c>
      <c r="Q51" s="114"/>
      <c r="R51" s="114"/>
      <c r="S51" s="114" t="s">
        <v>382</v>
      </c>
      <c r="T51" s="35" t="s">
        <v>380</v>
      </c>
      <c r="U51" s="35"/>
      <c r="V51" s="41"/>
    </row>
    <row r="52" spans="1:22" x14ac:dyDescent="0.4">
      <c r="A52" s="40" t="s">
        <v>525</v>
      </c>
      <c r="B52" s="40"/>
      <c r="C52" s="40"/>
      <c r="D52" s="40" t="s">
        <v>526</v>
      </c>
      <c r="E52" s="40"/>
      <c r="F52" s="40" t="s">
        <v>527</v>
      </c>
      <c r="G52" s="40">
        <v>5.6</v>
      </c>
      <c r="H52" s="40"/>
      <c r="I52" s="40"/>
      <c r="J52" s="40"/>
      <c r="K52" s="40"/>
      <c r="M52" s="128"/>
      <c r="N52" s="133" t="s">
        <v>502</v>
      </c>
      <c r="O52" s="114" t="s">
        <v>472</v>
      </c>
      <c r="P52" s="99" t="s">
        <v>500</v>
      </c>
      <c r="Q52" s="99"/>
      <c r="R52" s="99"/>
      <c r="S52" s="99">
        <v>0.2</v>
      </c>
      <c r="T52" s="35" t="s">
        <v>279</v>
      </c>
      <c r="U52" s="35">
        <f>'A. Databases'!H83</f>
        <v>0</v>
      </c>
      <c r="V52" s="41">
        <f>U52*S52</f>
        <v>0</v>
      </c>
    </row>
    <row r="53" spans="1:22" x14ac:dyDescent="0.4">
      <c r="A53" s="40" t="s">
        <v>528</v>
      </c>
      <c r="B53" s="40"/>
      <c r="C53" s="40" t="s">
        <v>529</v>
      </c>
      <c r="D53" s="40"/>
      <c r="E53" s="40"/>
      <c r="F53" s="40">
        <v>0.16</v>
      </c>
      <c r="G53" s="40">
        <v>4.4999999999999998E-2</v>
      </c>
      <c r="H53" s="40"/>
      <c r="I53" s="40"/>
      <c r="J53" s="40"/>
      <c r="K53" s="40"/>
      <c r="M53" s="128"/>
      <c r="N53" s="133" t="s">
        <v>503</v>
      </c>
      <c r="O53" s="114" t="s">
        <v>490</v>
      </c>
      <c r="P53" s="99" t="s">
        <v>500</v>
      </c>
      <c r="Q53" s="99"/>
      <c r="R53" s="99"/>
      <c r="S53" s="99">
        <v>0.05</v>
      </c>
      <c r="T53" s="35" t="s">
        <v>279</v>
      </c>
      <c r="U53" s="35">
        <f>'A. Databases'!H84</f>
        <v>0</v>
      </c>
      <c r="V53" s="41">
        <f>U53*S53</f>
        <v>0</v>
      </c>
    </row>
    <row r="54" spans="1:22" x14ac:dyDescent="0.4">
      <c r="A54" t="s">
        <v>503</v>
      </c>
      <c r="D54" t="s">
        <v>515</v>
      </c>
      <c r="M54" s="128"/>
      <c r="N54" s="133" t="s">
        <v>504</v>
      </c>
      <c r="O54" s="114" t="s">
        <v>496</v>
      </c>
      <c r="P54" s="99" t="s">
        <v>500</v>
      </c>
      <c r="Q54" s="99"/>
      <c r="R54" s="99"/>
      <c r="S54" s="99">
        <v>0.15</v>
      </c>
      <c r="T54" s="35" t="s">
        <v>279</v>
      </c>
      <c r="U54" s="35">
        <f>'A. Databases'!H85</f>
        <v>0</v>
      </c>
      <c r="V54" s="41">
        <f>U54*S54</f>
        <v>0</v>
      </c>
    </row>
    <row r="55" spans="1:22" x14ac:dyDescent="0.4">
      <c r="A55" t="s">
        <v>424</v>
      </c>
      <c r="D55" t="s">
        <v>515</v>
      </c>
      <c r="M55" s="128"/>
      <c r="N55" s="133" t="s">
        <v>487</v>
      </c>
      <c r="O55" s="114" t="s">
        <v>490</v>
      </c>
      <c r="P55" s="99" t="s">
        <v>500</v>
      </c>
      <c r="Q55" s="99"/>
      <c r="R55" s="99"/>
      <c r="S55" s="99">
        <v>0.05</v>
      </c>
      <c r="T55" s="35" t="s">
        <v>279</v>
      </c>
      <c r="U55" s="35">
        <f>'A. Databases'!H81</f>
        <v>0</v>
      </c>
      <c r="V55" s="41">
        <f>U55*S55</f>
        <v>0</v>
      </c>
    </row>
    <row r="56" spans="1:22" x14ac:dyDescent="0.4">
      <c r="A56" t="s">
        <v>502</v>
      </c>
      <c r="D56" t="s">
        <v>530</v>
      </c>
      <c r="M56" s="128"/>
      <c r="N56" s="133"/>
      <c r="O56" s="114"/>
      <c r="P56" s="99"/>
      <c r="Q56" s="99"/>
      <c r="R56" s="99"/>
      <c r="S56" s="99"/>
      <c r="T56" s="35"/>
      <c r="U56" s="35"/>
      <c r="V56" s="41"/>
    </row>
    <row r="57" spans="1:22" x14ac:dyDescent="0.4">
      <c r="A57" t="s">
        <v>531</v>
      </c>
      <c r="D57" t="s">
        <v>532</v>
      </c>
      <c r="F57" t="s">
        <v>533</v>
      </c>
      <c r="G57">
        <v>18</v>
      </c>
      <c r="M57" s="128"/>
      <c r="N57" s="133"/>
      <c r="O57" s="114"/>
      <c r="P57" s="99"/>
      <c r="Q57" s="99"/>
      <c r="R57" s="99"/>
      <c r="S57" s="99"/>
      <c r="T57" s="35"/>
      <c r="U57" s="35"/>
      <c r="V57" s="41"/>
    </row>
    <row r="58" spans="1:22" x14ac:dyDescent="0.4">
      <c r="A58" t="s">
        <v>424</v>
      </c>
      <c r="D58" t="s">
        <v>515</v>
      </c>
      <c r="M58" s="128"/>
      <c r="N58" s="133"/>
      <c r="O58" s="114"/>
      <c r="P58" s="114"/>
      <c r="Q58" s="114"/>
      <c r="R58" s="114"/>
      <c r="S58" s="114"/>
      <c r="T58" s="35"/>
      <c r="U58" s="35"/>
      <c r="V58" s="41"/>
    </row>
    <row r="59" spans="1:22" x14ac:dyDescent="0.4">
      <c r="A59" t="s">
        <v>534</v>
      </c>
      <c r="D59" t="s">
        <v>488</v>
      </c>
      <c r="M59" s="128"/>
      <c r="N59" s="134" t="s">
        <v>395</v>
      </c>
      <c r="O59" s="135"/>
      <c r="P59" s="99"/>
      <c r="Q59" s="99"/>
      <c r="R59" s="99"/>
      <c r="S59" s="99"/>
      <c r="T59" s="63"/>
      <c r="U59" s="63"/>
      <c r="V59" s="70"/>
    </row>
    <row r="60" spans="1:22" x14ac:dyDescent="0.4">
      <c r="A60" s="136" t="s">
        <v>535</v>
      </c>
      <c r="B60" s="47"/>
      <c r="C60" s="47"/>
      <c r="D60" s="47" t="s">
        <v>515</v>
      </c>
      <c r="E60" s="47"/>
      <c r="F60" s="47"/>
      <c r="G60" s="47"/>
      <c r="H60" s="47"/>
      <c r="I60" s="47"/>
      <c r="J60" s="47"/>
      <c r="K60" s="47"/>
      <c r="M60" s="128"/>
      <c r="N60" s="134" t="s">
        <v>396</v>
      </c>
      <c r="O60" s="99" t="s">
        <v>379</v>
      </c>
      <c r="P60" s="99" t="s">
        <v>380</v>
      </c>
      <c r="Q60" s="99"/>
      <c r="R60" s="99"/>
      <c r="S60" s="99" t="s">
        <v>382</v>
      </c>
      <c r="T60" s="63" t="s">
        <v>380</v>
      </c>
      <c r="U60" s="63"/>
      <c r="V60" s="70"/>
    </row>
    <row r="61" spans="1:22" ht="87.45" x14ac:dyDescent="0.4">
      <c r="A61" t="s">
        <v>487</v>
      </c>
      <c r="D61" t="s">
        <v>515</v>
      </c>
      <c r="M61" s="128"/>
      <c r="N61" s="137" t="s">
        <v>507</v>
      </c>
      <c r="O61" s="138"/>
      <c r="P61" s="138" t="s">
        <v>386</v>
      </c>
      <c r="Q61" s="138"/>
      <c r="R61" s="138"/>
      <c r="S61" s="138">
        <v>1.242E-2</v>
      </c>
      <c r="T61" s="74" t="s">
        <v>279</v>
      </c>
      <c r="U61" s="126">
        <f>V61/S61</f>
        <v>0</v>
      </c>
      <c r="V61" s="127">
        <f>SUM(V46:V59)</f>
        <v>0</v>
      </c>
    </row>
    <row r="62" spans="1:22" x14ac:dyDescent="0.4">
      <c r="M62" s="128"/>
      <c r="N62" s="128"/>
      <c r="O62" s="128"/>
      <c r="P62" s="128"/>
      <c r="Q62" s="128"/>
      <c r="R62" s="128"/>
      <c r="S62" s="128"/>
    </row>
    <row r="63" spans="1:22" x14ac:dyDescent="0.4">
      <c r="A63" t="s">
        <v>536</v>
      </c>
      <c r="M63" s="128"/>
      <c r="N63" s="128"/>
      <c r="O63" s="128"/>
      <c r="P63" s="128"/>
      <c r="Q63" s="128"/>
      <c r="R63" s="128"/>
      <c r="S63" s="128"/>
    </row>
    <row r="64" spans="1:22" x14ac:dyDescent="0.4">
      <c r="M64" s="128"/>
      <c r="N64" s="128"/>
      <c r="O64" s="128"/>
      <c r="P64" s="128"/>
      <c r="Q64" s="128"/>
      <c r="R64" s="128"/>
      <c r="S64" s="128"/>
    </row>
    <row r="65" spans="1:22" x14ac:dyDescent="0.4">
      <c r="M65" s="128"/>
      <c r="N65" s="128"/>
      <c r="O65" s="128"/>
      <c r="P65" s="128"/>
      <c r="Q65" s="128"/>
      <c r="R65" s="128"/>
      <c r="S65" s="128"/>
    </row>
    <row r="66" spans="1:22" x14ac:dyDescent="0.4">
      <c r="A66" s="121" t="s">
        <v>415</v>
      </c>
      <c r="B66" s="121" t="s">
        <v>517</v>
      </c>
      <c r="C66" s="122"/>
      <c r="D66" s="122"/>
      <c r="E66" s="122"/>
      <c r="F66" s="122"/>
      <c r="G66" s="122"/>
      <c r="H66" s="122"/>
      <c r="I66" s="122"/>
      <c r="J66" s="121" t="s">
        <v>395</v>
      </c>
      <c r="K66" s="121" t="s">
        <v>460</v>
      </c>
      <c r="M66" s="128"/>
      <c r="N66" s="129" t="s">
        <v>537</v>
      </c>
      <c r="O66" s="130"/>
      <c r="P66" s="130"/>
      <c r="Q66" s="130"/>
      <c r="R66" s="130"/>
      <c r="S66" s="130"/>
      <c r="T66" s="108"/>
      <c r="U66" s="108"/>
      <c r="V66" s="6"/>
    </row>
    <row r="67" spans="1:22" x14ac:dyDescent="0.4">
      <c r="A67" t="s">
        <v>461</v>
      </c>
      <c r="B67" t="s">
        <v>386</v>
      </c>
      <c r="C67" t="s">
        <v>462</v>
      </c>
      <c r="D67" t="s">
        <v>463</v>
      </c>
      <c r="E67" t="s">
        <v>464</v>
      </c>
      <c r="F67" t="s">
        <v>465</v>
      </c>
      <c r="G67" t="s">
        <v>466</v>
      </c>
      <c r="J67" s="124">
        <v>0.51</v>
      </c>
      <c r="M67" s="128"/>
      <c r="N67" s="131"/>
      <c r="O67" s="114"/>
      <c r="P67" s="114"/>
      <c r="Q67" s="114"/>
      <c r="R67" s="114"/>
      <c r="S67" s="114"/>
      <c r="T67" s="35"/>
      <c r="U67" s="35"/>
      <c r="V67" s="41"/>
    </row>
    <row r="68" spans="1:22" x14ac:dyDescent="0.4">
      <c r="A68" t="s">
        <v>538</v>
      </c>
      <c r="C68" t="s">
        <v>539</v>
      </c>
      <c r="F68" t="s">
        <v>540</v>
      </c>
      <c r="G68">
        <v>2.0299999999999998</v>
      </c>
      <c r="M68" s="128"/>
      <c r="N68" s="132" t="s">
        <v>378</v>
      </c>
      <c r="O68" s="114" t="s">
        <v>379</v>
      </c>
      <c r="P68" s="114" t="s">
        <v>380</v>
      </c>
      <c r="Q68" s="114" t="s">
        <v>381</v>
      </c>
      <c r="R68" s="99" t="s">
        <v>380</v>
      </c>
      <c r="S68" s="114" t="s">
        <v>382</v>
      </c>
      <c r="T68" s="35" t="s">
        <v>380</v>
      </c>
      <c r="U68" s="35" t="s">
        <v>383</v>
      </c>
      <c r="V68" s="41" t="s">
        <v>384</v>
      </c>
    </row>
    <row r="69" spans="1:22" x14ac:dyDescent="0.4">
      <c r="A69" s="40" t="s">
        <v>541</v>
      </c>
      <c r="B69" s="40"/>
      <c r="C69" s="40" t="s">
        <v>542</v>
      </c>
      <c r="D69" s="40"/>
      <c r="E69" s="40"/>
      <c r="F69" s="40" t="s">
        <v>543</v>
      </c>
      <c r="G69" s="40">
        <v>2.0299999999999998</v>
      </c>
      <c r="H69" s="40"/>
      <c r="I69" s="40"/>
      <c r="J69" s="40"/>
      <c r="K69" s="40"/>
      <c r="M69" s="128"/>
      <c r="N69" s="133" t="s">
        <v>507</v>
      </c>
      <c r="O69" s="114"/>
      <c r="P69" s="114" t="s">
        <v>386</v>
      </c>
      <c r="Q69" s="114"/>
      <c r="R69" s="114"/>
      <c r="S69" s="114">
        <v>0.01</v>
      </c>
      <c r="T69" s="35" t="s">
        <v>279</v>
      </c>
      <c r="U69" s="35">
        <f>U61</f>
        <v>0</v>
      </c>
      <c r="V69" s="41">
        <f>S69*U69</f>
        <v>0</v>
      </c>
    </row>
    <row r="70" spans="1:22" x14ac:dyDescent="0.4">
      <c r="A70" t="s">
        <v>452</v>
      </c>
      <c r="D70" t="s">
        <v>544</v>
      </c>
      <c r="F70" t="s">
        <v>545</v>
      </c>
      <c r="G70">
        <v>8.6</v>
      </c>
      <c r="M70" s="128"/>
      <c r="N70" s="133"/>
      <c r="O70" s="114"/>
      <c r="P70" s="114"/>
      <c r="Q70" s="99"/>
      <c r="R70" s="99"/>
      <c r="S70" s="99"/>
      <c r="T70" s="63"/>
      <c r="U70" s="35"/>
      <c r="V70" s="41"/>
    </row>
    <row r="71" spans="1:22" x14ac:dyDescent="0.4">
      <c r="A71" t="s">
        <v>546</v>
      </c>
      <c r="D71" t="s">
        <v>547</v>
      </c>
      <c r="F71" t="s">
        <v>548</v>
      </c>
      <c r="G71">
        <v>1</v>
      </c>
      <c r="M71" s="128"/>
      <c r="N71" s="133"/>
      <c r="O71" s="114"/>
      <c r="P71" s="99"/>
      <c r="Q71" s="99"/>
      <c r="R71" s="99"/>
      <c r="S71" s="99"/>
      <c r="T71" s="63"/>
      <c r="U71" s="35"/>
      <c r="V71" s="41"/>
    </row>
    <row r="72" spans="1:22" x14ac:dyDescent="0.4">
      <c r="A72" t="s">
        <v>549</v>
      </c>
      <c r="D72" t="s">
        <v>515</v>
      </c>
      <c r="M72" s="128"/>
      <c r="N72" s="133"/>
      <c r="O72" s="114"/>
      <c r="P72" s="99"/>
      <c r="Q72" s="99"/>
      <c r="R72" s="99"/>
      <c r="S72" s="99"/>
      <c r="T72" s="63"/>
      <c r="U72" s="35"/>
      <c r="V72" s="41"/>
    </row>
    <row r="73" spans="1:22" x14ac:dyDescent="0.4">
      <c r="A73" t="s">
        <v>504</v>
      </c>
      <c r="D73" t="s">
        <v>515</v>
      </c>
      <c r="M73" s="128"/>
      <c r="N73" s="131"/>
      <c r="O73" s="114"/>
      <c r="P73" s="114"/>
      <c r="Q73" s="114"/>
      <c r="R73" s="114"/>
      <c r="S73" s="114"/>
      <c r="T73" s="63"/>
      <c r="U73" s="35"/>
      <c r="V73" s="41"/>
    </row>
    <row r="74" spans="1:22" x14ac:dyDescent="0.4">
      <c r="M74" s="128"/>
      <c r="N74" s="132" t="s">
        <v>392</v>
      </c>
      <c r="O74" s="114" t="s">
        <v>379</v>
      </c>
      <c r="P74" s="114" t="s">
        <v>380</v>
      </c>
      <c r="Q74" s="114"/>
      <c r="R74" s="114"/>
      <c r="S74" s="114" t="s">
        <v>382</v>
      </c>
      <c r="T74" s="35" t="s">
        <v>380</v>
      </c>
      <c r="U74" s="35"/>
      <c r="V74" s="41"/>
    </row>
    <row r="75" spans="1:22" x14ac:dyDescent="0.4">
      <c r="M75" s="128"/>
      <c r="N75" s="133" t="s">
        <v>510</v>
      </c>
      <c r="O75" s="114">
        <v>300</v>
      </c>
      <c r="P75" s="99" t="s">
        <v>500</v>
      </c>
      <c r="Q75" s="99"/>
      <c r="R75" s="99"/>
      <c r="S75" s="99">
        <v>0.3</v>
      </c>
      <c r="T75" s="35" t="s">
        <v>279</v>
      </c>
      <c r="U75" s="35">
        <f>'A. Databases'!H86</f>
        <v>0</v>
      </c>
      <c r="V75" s="41">
        <f>S75*U75</f>
        <v>0</v>
      </c>
    </row>
    <row r="76" spans="1:22" x14ac:dyDescent="0.4">
      <c r="M76" s="128"/>
      <c r="N76" s="133" t="s">
        <v>511</v>
      </c>
      <c r="O76" s="114">
        <v>50</v>
      </c>
      <c r="P76" s="99" t="s">
        <v>500</v>
      </c>
      <c r="Q76" s="99"/>
      <c r="R76" s="99"/>
      <c r="S76" s="99">
        <v>0.05</v>
      </c>
      <c r="T76" s="35" t="s">
        <v>279</v>
      </c>
      <c r="U76" s="35">
        <f>'B.4. Precursors'!I108</f>
        <v>0</v>
      </c>
      <c r="V76" s="41">
        <f>S76*U76</f>
        <v>0</v>
      </c>
    </row>
    <row r="77" spans="1:22" x14ac:dyDescent="0.4">
      <c r="M77" s="128"/>
      <c r="N77" s="133" t="s">
        <v>513</v>
      </c>
      <c r="O77" s="114">
        <v>21.8</v>
      </c>
      <c r="P77" s="99" t="s">
        <v>500</v>
      </c>
      <c r="Q77" s="99">
        <v>0.10680000000000001</v>
      </c>
      <c r="R77" s="99" t="s">
        <v>550</v>
      </c>
      <c r="S77" s="99">
        <f>Q77*186.06/10000</f>
        <v>1.9871208000000005E-3</v>
      </c>
      <c r="T77" s="35" t="s">
        <v>279</v>
      </c>
      <c r="U77" s="35">
        <f>((1*'A. Databases'!H99+3*'A. Databases'!H100)/0.87)/0.9</f>
        <v>0</v>
      </c>
      <c r="V77" s="41">
        <f>S77*U77</f>
        <v>0</v>
      </c>
    </row>
    <row r="78" spans="1:22" x14ac:dyDescent="0.4">
      <c r="M78" s="128"/>
      <c r="N78" s="133"/>
      <c r="O78" s="114"/>
      <c r="P78" s="99"/>
      <c r="Q78" s="99"/>
      <c r="R78" s="99"/>
      <c r="S78" s="99"/>
      <c r="T78" s="35"/>
      <c r="U78" s="35"/>
      <c r="V78" s="41">
        <f>S78*U78</f>
        <v>0</v>
      </c>
    </row>
    <row r="79" spans="1:22" x14ac:dyDescent="0.4">
      <c r="M79" s="128"/>
      <c r="N79" s="133"/>
      <c r="O79" s="114"/>
      <c r="P79" s="99"/>
      <c r="Q79" s="99"/>
      <c r="R79" s="99"/>
      <c r="S79" s="99"/>
      <c r="T79" s="35"/>
      <c r="U79" s="35"/>
      <c r="V79" s="41"/>
    </row>
    <row r="80" spans="1:22" x14ac:dyDescent="0.4">
      <c r="M80" s="128"/>
      <c r="N80" s="133"/>
      <c r="O80" s="114"/>
      <c r="P80" s="99"/>
      <c r="Q80" s="99"/>
      <c r="R80" s="99"/>
      <c r="S80" s="99"/>
      <c r="T80" s="35"/>
      <c r="U80" s="35"/>
      <c r="V80" s="41"/>
    </row>
    <row r="81" spans="13:22" x14ac:dyDescent="0.4">
      <c r="M81" s="128"/>
      <c r="N81" s="133"/>
      <c r="O81" s="114"/>
      <c r="P81" s="114"/>
      <c r="Q81" s="114"/>
      <c r="R81" s="114"/>
      <c r="S81" s="114"/>
      <c r="T81" s="35"/>
      <c r="U81" s="35"/>
      <c r="V81" s="41"/>
    </row>
    <row r="82" spans="13:22" x14ac:dyDescent="0.4">
      <c r="M82" s="128"/>
      <c r="N82" s="134" t="s">
        <v>395</v>
      </c>
      <c r="O82" s="135"/>
      <c r="P82" s="99"/>
      <c r="Q82" s="99"/>
      <c r="R82" s="99"/>
      <c r="S82" s="99"/>
      <c r="T82" s="63"/>
      <c r="U82" s="63"/>
      <c r="V82" s="41"/>
    </row>
    <row r="83" spans="13:22" x14ac:dyDescent="0.4">
      <c r="M83" s="128"/>
      <c r="N83" s="134" t="s">
        <v>396</v>
      </c>
      <c r="O83" s="99" t="s">
        <v>379</v>
      </c>
      <c r="P83" s="99" t="s">
        <v>380</v>
      </c>
      <c r="Q83" s="99"/>
      <c r="R83" s="99"/>
      <c r="S83" s="99" t="s">
        <v>382</v>
      </c>
      <c r="T83" s="63" t="s">
        <v>380</v>
      </c>
      <c r="U83" s="63"/>
      <c r="V83" s="70"/>
    </row>
    <row r="84" spans="13:22" ht="189.45" x14ac:dyDescent="0.4">
      <c r="M84" s="128"/>
      <c r="N84" s="137" t="s">
        <v>518</v>
      </c>
      <c r="O84" s="138"/>
      <c r="P84" s="138" t="s">
        <v>386</v>
      </c>
      <c r="Q84" s="138"/>
      <c r="R84" s="138" t="s">
        <v>387</v>
      </c>
      <c r="S84" s="138">
        <v>1.503E-2</v>
      </c>
      <c r="T84" s="74" t="s">
        <v>279</v>
      </c>
      <c r="U84" s="126">
        <f>V84/S84</f>
        <v>0</v>
      </c>
      <c r="V84" s="127">
        <f>SUM(V69:V81)</f>
        <v>0</v>
      </c>
    </row>
    <row r="85" spans="13:22" x14ac:dyDescent="0.4">
      <c r="M85" s="128"/>
      <c r="N85" s="128"/>
      <c r="O85" s="128"/>
      <c r="P85" s="128"/>
      <c r="Q85" s="128"/>
      <c r="R85" s="128"/>
      <c r="S85" s="128"/>
    </row>
    <row r="86" spans="13:22" x14ac:dyDescent="0.4">
      <c r="M86" s="128"/>
      <c r="N86" s="128"/>
      <c r="O86" s="128"/>
      <c r="P86" s="128"/>
      <c r="Q86" s="128"/>
      <c r="R86" s="128"/>
      <c r="S86" s="128"/>
    </row>
    <row r="87" spans="13:22" x14ac:dyDescent="0.4">
      <c r="M87" s="128"/>
      <c r="N87" s="128"/>
      <c r="O87" s="128"/>
      <c r="P87" s="128"/>
      <c r="Q87" s="128"/>
      <c r="R87" s="128"/>
      <c r="S87" s="128"/>
    </row>
    <row r="88" spans="13:22" x14ac:dyDescent="0.4">
      <c r="M88" s="128"/>
      <c r="N88" s="128"/>
      <c r="O88" s="128"/>
      <c r="P88" s="128"/>
      <c r="Q88" s="128"/>
      <c r="R88" s="128"/>
      <c r="S88" s="128"/>
    </row>
    <row r="89" spans="13:22" x14ac:dyDescent="0.4">
      <c r="M89" s="128"/>
      <c r="N89" s="129" t="s">
        <v>411</v>
      </c>
      <c r="O89" s="130"/>
      <c r="P89" s="130"/>
      <c r="Q89" s="130"/>
      <c r="R89" s="130"/>
      <c r="S89" s="130"/>
      <c r="T89" s="108"/>
      <c r="U89" s="108"/>
      <c r="V89" s="6"/>
    </row>
    <row r="90" spans="13:22" x14ac:dyDescent="0.4">
      <c r="M90" s="128"/>
      <c r="N90" s="131"/>
      <c r="O90" s="114"/>
      <c r="P90" s="114"/>
      <c r="Q90" s="114"/>
      <c r="R90" s="114"/>
      <c r="S90" s="114"/>
      <c r="T90" s="35"/>
      <c r="U90" s="35"/>
      <c r="V90" s="41"/>
    </row>
    <row r="91" spans="13:22" x14ac:dyDescent="0.4">
      <c r="M91" s="128"/>
      <c r="N91" s="132" t="s">
        <v>378</v>
      </c>
      <c r="O91" s="114" t="s">
        <v>379</v>
      </c>
      <c r="P91" s="114" t="s">
        <v>380</v>
      </c>
      <c r="Q91" s="114" t="s">
        <v>381</v>
      </c>
      <c r="R91" s="99" t="s">
        <v>380</v>
      </c>
      <c r="S91" s="114" t="s">
        <v>382</v>
      </c>
      <c r="T91" s="35" t="s">
        <v>380</v>
      </c>
      <c r="U91" s="35" t="s">
        <v>383</v>
      </c>
      <c r="V91" s="41" t="s">
        <v>384</v>
      </c>
    </row>
    <row r="92" spans="13:22" ht="189.45" x14ac:dyDescent="0.4">
      <c r="M92" s="128"/>
      <c r="N92" s="139" t="s">
        <v>518</v>
      </c>
      <c r="O92" s="114"/>
      <c r="P92" s="114" t="s">
        <v>386</v>
      </c>
      <c r="Q92" s="114"/>
      <c r="R92" s="114"/>
      <c r="S92" s="114">
        <v>2.2399999999999998E-3</v>
      </c>
      <c r="T92" s="35" t="s">
        <v>279</v>
      </c>
      <c r="U92" s="35">
        <f>U84</f>
        <v>0</v>
      </c>
      <c r="V92" s="41">
        <f>U92*S92</f>
        <v>0</v>
      </c>
    </row>
    <row r="93" spans="13:22" x14ac:dyDescent="0.4">
      <c r="M93" s="128"/>
      <c r="N93" s="133" t="s">
        <v>520</v>
      </c>
      <c r="O93" s="114"/>
      <c r="P93" s="99" t="s">
        <v>386</v>
      </c>
      <c r="Q93" s="99"/>
      <c r="R93" s="99"/>
      <c r="S93" s="99">
        <v>1.9E-3</v>
      </c>
      <c r="T93" s="63" t="s">
        <v>279</v>
      </c>
      <c r="U93" s="35">
        <f>'A. Databases'!H23/0.82/0.635/0.47</f>
        <v>0</v>
      </c>
      <c r="V93" s="41">
        <f>U93*S93</f>
        <v>0</v>
      </c>
    </row>
    <row r="94" spans="13:22" x14ac:dyDescent="0.4">
      <c r="M94" s="128"/>
      <c r="N94" s="133" t="s">
        <v>528</v>
      </c>
      <c r="O94" s="114">
        <v>1155</v>
      </c>
      <c r="P94" s="99" t="s">
        <v>386</v>
      </c>
      <c r="Q94" s="99"/>
      <c r="R94" s="99"/>
      <c r="S94" s="99">
        <v>1.85E-4</v>
      </c>
      <c r="T94" s="63" t="s">
        <v>279</v>
      </c>
      <c r="U94" s="35">
        <f>(106/1155)*'A. Databases'!H30</f>
        <v>0</v>
      </c>
      <c r="V94" s="41">
        <f>U94*S94</f>
        <v>0</v>
      </c>
    </row>
    <row r="95" spans="13:22" x14ac:dyDescent="0.4">
      <c r="M95" s="128"/>
      <c r="N95" s="133"/>
      <c r="O95" s="114"/>
      <c r="P95" s="99"/>
      <c r="Q95" s="99"/>
      <c r="R95" s="99"/>
      <c r="S95" s="99"/>
      <c r="T95" s="63"/>
      <c r="U95" s="35"/>
      <c r="V95" s="41"/>
    </row>
    <row r="96" spans="13:22" x14ac:dyDescent="0.4">
      <c r="M96" s="128"/>
      <c r="N96" s="131"/>
      <c r="O96" s="114"/>
      <c r="P96" s="114"/>
      <c r="Q96" s="114"/>
      <c r="R96" s="114"/>
      <c r="S96" s="114"/>
      <c r="T96" s="63"/>
      <c r="U96" s="35"/>
      <c r="V96" s="41"/>
    </row>
    <row r="97" spans="13:22" x14ac:dyDescent="0.4">
      <c r="M97" s="128"/>
      <c r="N97" s="132" t="s">
        <v>392</v>
      </c>
      <c r="O97" s="114" t="s">
        <v>379</v>
      </c>
      <c r="P97" s="114" t="s">
        <v>380</v>
      </c>
      <c r="Q97" s="114"/>
      <c r="R97" s="114"/>
      <c r="S97" s="114" t="s">
        <v>382</v>
      </c>
      <c r="T97" s="35" t="s">
        <v>380</v>
      </c>
      <c r="U97" s="35"/>
      <c r="V97" s="41"/>
    </row>
    <row r="98" spans="13:22" x14ac:dyDescent="0.4">
      <c r="M98" s="128"/>
      <c r="N98" s="133" t="s">
        <v>523</v>
      </c>
      <c r="O98" s="114">
        <v>30</v>
      </c>
      <c r="P98" s="99" t="s">
        <v>500</v>
      </c>
      <c r="Q98" s="99"/>
      <c r="R98" s="99"/>
      <c r="S98" s="99">
        <v>0.03</v>
      </c>
      <c r="T98" s="35" t="s">
        <v>279</v>
      </c>
      <c r="U98" s="35">
        <f>'A. Databases'!H87</f>
        <v>0</v>
      </c>
      <c r="V98" s="41">
        <f>U98*S98</f>
        <v>0</v>
      </c>
    </row>
    <row r="99" spans="13:22" x14ac:dyDescent="0.4">
      <c r="M99" s="128"/>
      <c r="N99" s="133" t="s">
        <v>525</v>
      </c>
      <c r="O99" s="114">
        <v>10</v>
      </c>
      <c r="P99" s="99" t="s">
        <v>500</v>
      </c>
      <c r="Q99" s="99"/>
      <c r="R99" s="99"/>
      <c r="S99" s="99">
        <v>0.01</v>
      </c>
      <c r="T99" s="35" t="s">
        <v>279</v>
      </c>
      <c r="U99" s="35">
        <f>'A. Databases'!H88</f>
        <v>0</v>
      </c>
      <c r="V99" s="41">
        <f>U99*S99</f>
        <v>0</v>
      </c>
    </row>
    <row r="100" spans="13:22" x14ac:dyDescent="0.4">
      <c r="M100" s="128"/>
      <c r="N100" s="133" t="s">
        <v>502</v>
      </c>
      <c r="O100" s="114">
        <v>25</v>
      </c>
      <c r="P100" s="99" t="s">
        <v>500</v>
      </c>
      <c r="Q100" s="99"/>
      <c r="R100" s="99"/>
      <c r="S100" s="99">
        <v>2.5000000000000001E-2</v>
      </c>
      <c r="T100" s="35" t="s">
        <v>279</v>
      </c>
      <c r="U100" s="35">
        <f>'A. Databases'!H83</f>
        <v>0</v>
      </c>
      <c r="V100" s="41">
        <f>U100*S100</f>
        <v>0</v>
      </c>
    </row>
    <row r="101" spans="13:22" x14ac:dyDescent="0.4">
      <c r="M101" s="128"/>
      <c r="N101" s="133" t="s">
        <v>531</v>
      </c>
      <c r="O101" s="99">
        <v>16</v>
      </c>
      <c r="P101" s="99" t="s">
        <v>500</v>
      </c>
      <c r="Q101" s="99"/>
      <c r="R101" s="99"/>
      <c r="S101" s="99">
        <f>0.016/4</f>
        <v>4.0000000000000001E-3</v>
      </c>
      <c r="T101" s="35" t="s">
        <v>279</v>
      </c>
      <c r="U101" s="35">
        <f>'A. Databases'!H79</f>
        <v>0</v>
      </c>
      <c r="V101" s="41">
        <f>U101*S101</f>
        <v>0</v>
      </c>
    </row>
    <row r="102" spans="13:22" x14ac:dyDescent="0.4">
      <c r="M102" s="128"/>
      <c r="N102" s="133" t="s">
        <v>534</v>
      </c>
      <c r="O102" s="99">
        <v>100</v>
      </c>
      <c r="P102" s="99" t="s">
        <v>500</v>
      </c>
      <c r="Q102" s="99"/>
      <c r="R102" s="99"/>
      <c r="S102" s="99">
        <f>0.1/16</f>
        <v>6.2500000000000003E-3</v>
      </c>
      <c r="T102" s="35" t="s">
        <v>279</v>
      </c>
      <c r="U102" s="35">
        <f>'A. Databases'!H79</f>
        <v>0</v>
      </c>
      <c r="V102" s="41">
        <f>U102*S102</f>
        <v>0</v>
      </c>
    </row>
    <row r="103" spans="13:22" x14ac:dyDescent="0.4">
      <c r="M103" s="128"/>
      <c r="N103" s="133"/>
      <c r="O103" s="114"/>
      <c r="P103" s="99"/>
      <c r="Q103" s="99"/>
      <c r="R103" s="99"/>
      <c r="S103" s="99"/>
      <c r="T103" s="35"/>
      <c r="U103" s="35"/>
      <c r="V103" s="41"/>
    </row>
    <row r="104" spans="13:22" x14ac:dyDescent="0.4">
      <c r="M104" s="128"/>
      <c r="N104" s="133"/>
      <c r="O104" s="114"/>
      <c r="P104" s="114"/>
      <c r="Q104" s="114"/>
      <c r="R104" s="114"/>
      <c r="S104" s="114"/>
      <c r="T104" s="35" t="s">
        <v>279</v>
      </c>
      <c r="U104" s="35"/>
      <c r="V104" s="41"/>
    </row>
    <row r="105" spans="13:22" x14ac:dyDescent="0.4">
      <c r="M105" s="128"/>
      <c r="N105" s="134" t="s">
        <v>395</v>
      </c>
      <c r="O105" s="135"/>
      <c r="P105" s="99"/>
      <c r="Q105" s="99"/>
      <c r="R105" s="99"/>
      <c r="S105" s="99"/>
      <c r="T105" s="63"/>
      <c r="U105" s="63"/>
      <c r="V105" s="41"/>
    </row>
    <row r="106" spans="13:22" x14ac:dyDescent="0.4">
      <c r="M106" s="128"/>
      <c r="N106" s="134" t="s">
        <v>396</v>
      </c>
      <c r="O106" s="99" t="s">
        <v>379</v>
      </c>
      <c r="P106" s="99" t="s">
        <v>380</v>
      </c>
      <c r="Q106" s="99"/>
      <c r="R106" s="99"/>
      <c r="S106" s="99" t="s">
        <v>382</v>
      </c>
      <c r="T106" s="63" t="s">
        <v>380</v>
      </c>
      <c r="U106" s="63"/>
      <c r="V106" s="70"/>
    </row>
    <row r="107" spans="13:22" x14ac:dyDescent="0.4">
      <c r="M107" s="128"/>
      <c r="N107" s="140" t="s">
        <v>538</v>
      </c>
      <c r="O107" s="138"/>
      <c r="P107" s="138" t="s">
        <v>386</v>
      </c>
      <c r="Q107" s="138"/>
      <c r="R107" s="138" t="s">
        <v>387</v>
      </c>
      <c r="S107" s="138">
        <v>2.2399999999999998E-3</v>
      </c>
      <c r="T107" s="74" t="s">
        <v>279</v>
      </c>
      <c r="U107" s="126">
        <f>V107/S107</f>
        <v>0</v>
      </c>
      <c r="V107" s="127">
        <f>SUM(V92:V104)</f>
        <v>0</v>
      </c>
    </row>
    <row r="108" spans="13:22" x14ac:dyDescent="0.4">
      <c r="M108" s="128"/>
      <c r="N108" s="128"/>
      <c r="O108" s="128"/>
      <c r="P108" s="128"/>
      <c r="Q108" s="128"/>
      <c r="R108" s="128"/>
      <c r="S108" s="128"/>
    </row>
    <row r="109" spans="13:22" x14ac:dyDescent="0.4">
      <c r="M109" s="128"/>
      <c r="N109" s="128"/>
      <c r="O109" s="128"/>
      <c r="P109" s="128"/>
      <c r="Q109" s="128"/>
      <c r="R109" s="128"/>
      <c r="S109" s="128"/>
    </row>
    <row r="110" spans="13:22" x14ac:dyDescent="0.4">
      <c r="M110" s="128"/>
      <c r="N110" s="128"/>
      <c r="O110" s="128"/>
      <c r="P110" s="128"/>
      <c r="Q110" s="128"/>
      <c r="R110" s="128"/>
      <c r="S110" s="128"/>
    </row>
    <row r="111" spans="13:22" x14ac:dyDescent="0.4">
      <c r="M111" s="128"/>
      <c r="N111" s="128"/>
      <c r="O111" s="128"/>
      <c r="P111" s="128"/>
      <c r="Q111" s="128"/>
      <c r="R111" s="128"/>
      <c r="S111" s="128"/>
    </row>
    <row r="112" spans="13:22" x14ac:dyDescent="0.4">
      <c r="M112" s="128"/>
      <c r="N112" s="128"/>
      <c r="O112" s="128"/>
      <c r="P112" s="128"/>
      <c r="Q112" s="128"/>
      <c r="R112" s="128"/>
      <c r="S112" s="128"/>
    </row>
    <row r="113" spans="13:29" x14ac:dyDescent="0.4">
      <c r="M113" s="128"/>
      <c r="N113" s="129" t="s">
        <v>415</v>
      </c>
      <c r="O113" s="130"/>
      <c r="P113" s="130"/>
      <c r="Q113" s="130"/>
      <c r="R113" s="130"/>
      <c r="S113" s="130"/>
      <c r="T113" s="108"/>
      <c r="U113" s="108"/>
      <c r="V113" s="6"/>
    </row>
    <row r="114" spans="13:29" x14ac:dyDescent="0.4">
      <c r="M114" s="128"/>
      <c r="N114" s="131"/>
      <c r="O114" s="114"/>
      <c r="P114" s="114"/>
      <c r="Q114" s="114"/>
      <c r="R114" s="114"/>
      <c r="S114" s="114"/>
      <c r="T114" s="35"/>
      <c r="U114" s="35"/>
      <c r="V114" s="41"/>
    </row>
    <row r="115" spans="13:29" x14ac:dyDescent="0.4">
      <c r="M115" s="128"/>
      <c r="N115" s="132" t="s">
        <v>378</v>
      </c>
      <c r="O115" s="114" t="s">
        <v>379</v>
      </c>
      <c r="P115" s="114" t="s">
        <v>380</v>
      </c>
      <c r="Q115" s="114" t="s">
        <v>381</v>
      </c>
      <c r="R115" s="99" t="s">
        <v>380</v>
      </c>
      <c r="S115" s="114" t="s">
        <v>382</v>
      </c>
      <c r="T115" s="35" t="s">
        <v>380</v>
      </c>
      <c r="U115" s="35" t="s">
        <v>383</v>
      </c>
      <c r="V115" s="41" t="s">
        <v>384</v>
      </c>
    </row>
    <row r="116" spans="13:29" x14ac:dyDescent="0.4">
      <c r="M116" s="128"/>
      <c r="N116" s="133" t="s">
        <v>538</v>
      </c>
      <c r="O116" s="114"/>
      <c r="P116" s="114" t="s">
        <v>386</v>
      </c>
      <c r="Q116" s="114"/>
      <c r="R116" s="114"/>
      <c r="S116" s="114">
        <v>1.06E-3</v>
      </c>
      <c r="T116" s="35" t="s">
        <v>279</v>
      </c>
      <c r="U116" s="35">
        <f>U107</f>
        <v>0</v>
      </c>
      <c r="V116" s="41">
        <f>U116*S116</f>
        <v>0</v>
      </c>
    </row>
    <row r="117" spans="13:29" x14ac:dyDescent="0.4">
      <c r="M117" s="128"/>
      <c r="N117" s="40" t="s">
        <v>541</v>
      </c>
      <c r="O117" s="114"/>
      <c r="P117" s="99"/>
      <c r="Q117" s="99"/>
      <c r="R117" s="99"/>
      <c r="S117" s="99">
        <v>7.8200000000000003E-4</v>
      </c>
      <c r="T117" s="63" t="s">
        <v>279</v>
      </c>
      <c r="U117" s="35">
        <f>'A. Databases'!H22/0.044/0.99/0.53/0.91/0.99</f>
        <v>0</v>
      </c>
      <c r="V117" s="41">
        <f>U117*S117</f>
        <v>0</v>
      </c>
    </row>
    <row r="118" spans="13:29" x14ac:dyDescent="0.4">
      <c r="M118" s="128"/>
      <c r="N118" s="133"/>
      <c r="O118" s="114"/>
      <c r="P118" s="99"/>
      <c r="Q118" s="99"/>
      <c r="R118" s="99"/>
      <c r="S118" s="99"/>
      <c r="T118" s="63"/>
      <c r="U118" s="35"/>
      <c r="V118" s="41"/>
    </row>
    <row r="119" spans="13:29" x14ac:dyDescent="0.4">
      <c r="M119" s="128"/>
      <c r="N119" s="133"/>
      <c r="O119" s="114"/>
      <c r="P119" s="99"/>
      <c r="Q119" s="99"/>
      <c r="R119" s="99"/>
      <c r="S119" s="99"/>
      <c r="T119" s="63"/>
      <c r="U119" s="35"/>
      <c r="V119" s="41"/>
    </row>
    <row r="120" spans="13:29" x14ac:dyDescent="0.4">
      <c r="M120" s="128"/>
      <c r="N120" s="131"/>
      <c r="O120" s="114"/>
      <c r="P120" s="114"/>
      <c r="Q120" s="114"/>
      <c r="R120" s="114"/>
      <c r="S120" s="114"/>
      <c r="T120" s="63"/>
      <c r="U120" s="35"/>
      <c r="V120" s="41"/>
    </row>
    <row r="121" spans="13:29" x14ac:dyDescent="0.4">
      <c r="M121" s="128"/>
      <c r="N121" s="134" t="s">
        <v>392</v>
      </c>
      <c r="O121" s="99" t="s">
        <v>379</v>
      </c>
      <c r="P121" s="99" t="s">
        <v>380</v>
      </c>
      <c r="Q121" s="99"/>
      <c r="R121" s="99"/>
      <c r="S121" s="99" t="s">
        <v>382</v>
      </c>
      <c r="T121" s="63" t="s">
        <v>380</v>
      </c>
      <c r="U121" s="63"/>
      <c r="V121" s="70"/>
    </row>
    <row r="122" spans="13:29" x14ac:dyDescent="0.4">
      <c r="M122" s="128"/>
      <c r="N122" s="141" t="s">
        <v>452</v>
      </c>
      <c r="O122" s="99">
        <v>1.2</v>
      </c>
      <c r="P122" s="99" t="s">
        <v>500</v>
      </c>
      <c r="Q122" s="99"/>
      <c r="R122" s="99"/>
      <c r="S122" s="99">
        <v>1.1999999999999999E-3</v>
      </c>
      <c r="T122" s="63" t="s">
        <v>279</v>
      </c>
      <c r="U122" s="63">
        <f>'A. Databases'!H70</f>
        <v>0</v>
      </c>
      <c r="V122" s="142">
        <f>U122*S122</f>
        <v>0</v>
      </c>
    </row>
    <row r="123" spans="13:29" x14ac:dyDescent="0.4">
      <c r="M123" s="128"/>
      <c r="N123" s="133" t="s">
        <v>546</v>
      </c>
      <c r="O123" s="114">
        <v>0.21</v>
      </c>
      <c r="P123" s="99" t="s">
        <v>500</v>
      </c>
      <c r="Q123" s="99"/>
      <c r="R123" s="99"/>
      <c r="S123" s="99">
        <v>2.1000000000000001E-4</v>
      </c>
      <c r="T123" s="35" t="s">
        <v>279</v>
      </c>
      <c r="U123" s="35">
        <f>'A. Databases'!H90</f>
        <v>0</v>
      </c>
      <c r="V123" s="41">
        <f>U123*S123</f>
        <v>0</v>
      </c>
    </row>
    <row r="124" spans="13:29" x14ac:dyDescent="0.4">
      <c r="N124" s="9"/>
      <c r="O124" s="35"/>
      <c r="P124" s="63"/>
      <c r="Q124" s="63"/>
      <c r="R124" s="63"/>
      <c r="S124" s="63"/>
      <c r="T124" s="35"/>
      <c r="U124" s="35"/>
      <c r="V124" s="41">
        <f>U124*S124</f>
        <v>0</v>
      </c>
    </row>
    <row r="125" spans="13:29" x14ac:dyDescent="0.4">
      <c r="N125" s="9"/>
      <c r="O125" s="35"/>
      <c r="P125" s="63"/>
      <c r="Q125" s="63"/>
      <c r="R125" s="63"/>
      <c r="S125" s="63"/>
      <c r="T125" s="35"/>
      <c r="U125" s="35"/>
      <c r="V125" s="41"/>
    </row>
    <row r="126" spans="13:29" x14ac:dyDescent="0.4">
      <c r="N126" s="9"/>
      <c r="O126" s="35"/>
      <c r="P126" s="63"/>
      <c r="Q126" s="63"/>
      <c r="R126" s="63"/>
      <c r="S126" s="63"/>
      <c r="T126" s="35"/>
      <c r="U126" s="35"/>
      <c r="V126" s="41"/>
    </row>
    <row r="127" spans="13:29" x14ac:dyDescent="0.4">
      <c r="N127" s="9"/>
      <c r="O127" s="35"/>
      <c r="P127" s="63"/>
      <c r="Q127" s="63"/>
      <c r="R127" s="63"/>
      <c r="S127" s="63"/>
      <c r="T127" s="35"/>
      <c r="U127" s="35"/>
      <c r="V127" s="41"/>
    </row>
    <row r="128" spans="13:29" x14ac:dyDescent="0.4">
      <c r="N128" s="9"/>
      <c r="O128" s="35"/>
      <c r="P128" s="35"/>
      <c r="Q128" s="35"/>
      <c r="R128" s="35"/>
      <c r="S128" s="35"/>
      <c r="T128" s="35" t="s">
        <v>279</v>
      </c>
      <c r="U128" s="35"/>
      <c r="V128" s="41"/>
      <c r="Y128" s="18"/>
      <c r="Z128" s="108" t="s">
        <v>551</v>
      </c>
      <c r="AA128" s="108">
        <v>0.5</v>
      </c>
      <c r="AB128" s="108"/>
      <c r="AC128" s="6"/>
    </row>
    <row r="129" spans="14:29" x14ac:dyDescent="0.4">
      <c r="N129" s="68" t="s">
        <v>395</v>
      </c>
      <c r="O129" s="69"/>
      <c r="P129" s="63"/>
      <c r="Q129" s="63"/>
      <c r="R129" s="63"/>
      <c r="S129" s="63"/>
      <c r="T129" s="63"/>
      <c r="U129" s="63"/>
      <c r="V129" s="70"/>
      <c r="Y129" s="9"/>
      <c r="Z129" s="35" t="s">
        <v>552</v>
      </c>
      <c r="AA129" s="35">
        <f>(1-AC129)</f>
        <v>0.5</v>
      </c>
      <c r="AB129" s="35" t="s">
        <v>553</v>
      </c>
      <c r="AC129" s="143">
        <v>0.5</v>
      </c>
    </row>
    <row r="130" spans="14:29" x14ac:dyDescent="0.4">
      <c r="N130" s="68" t="s">
        <v>396</v>
      </c>
      <c r="O130" s="63" t="s">
        <v>379</v>
      </c>
      <c r="P130" s="63" t="s">
        <v>380</v>
      </c>
      <c r="Q130" s="63"/>
      <c r="R130" s="63"/>
      <c r="S130" s="63" t="s">
        <v>382</v>
      </c>
      <c r="T130" s="63" t="s">
        <v>380</v>
      </c>
      <c r="U130" s="63"/>
      <c r="V130" s="70"/>
      <c r="Y130" s="9"/>
      <c r="Z130" s="35"/>
      <c r="AA130" s="35"/>
      <c r="AB130" s="35"/>
      <c r="AC130" s="41"/>
    </row>
    <row r="131" spans="14:29" x14ac:dyDescent="0.4">
      <c r="N131" s="73" t="s">
        <v>443</v>
      </c>
      <c r="O131" s="74"/>
      <c r="P131" s="74" t="s">
        <v>386</v>
      </c>
      <c r="Q131" s="74"/>
      <c r="R131" s="74" t="s">
        <v>387</v>
      </c>
      <c r="S131" s="74">
        <f>S116*0.51</f>
        <v>5.4060000000000002E-4</v>
      </c>
      <c r="T131" s="74" t="s">
        <v>279</v>
      </c>
      <c r="U131" s="126">
        <f>(V131/S131)/Z132</f>
        <v>0</v>
      </c>
      <c r="V131" s="127">
        <f>SUM(V116:V128)</f>
        <v>0</v>
      </c>
      <c r="Y131" s="9"/>
      <c r="Z131" s="35"/>
      <c r="AA131" s="35"/>
      <c r="AB131" s="35"/>
      <c r="AC131" s="41"/>
    </row>
    <row r="132" spans="14:29" x14ac:dyDescent="0.4">
      <c r="Y132" s="24" t="s">
        <v>554</v>
      </c>
      <c r="Z132" s="42">
        <f>LN(AA128)/LN(1-AA129)</f>
        <v>1</v>
      </c>
      <c r="AA132" s="42"/>
      <c r="AB132" s="42"/>
      <c r="AC132" s="45"/>
    </row>
  </sheetData>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5"/>
  <sheetViews>
    <sheetView zoomScale="85" zoomScaleNormal="85" workbookViewId="0">
      <selection activeCell="H18" sqref="H18"/>
    </sheetView>
  </sheetViews>
  <sheetFormatPr defaultColWidth="8.69140625" defaultRowHeight="14.6" x14ac:dyDescent="0.4"/>
  <cols>
    <col min="1" max="1" width="46.23046875" customWidth="1"/>
    <col min="2" max="2" width="18.15234375" customWidth="1"/>
    <col min="6" max="6" width="18.53515625" customWidth="1"/>
    <col min="8" max="8" width="18" customWidth="1"/>
    <col min="9" max="9" width="16.69140625" customWidth="1"/>
    <col min="11" max="11" width="35.15234375" customWidth="1"/>
    <col min="12" max="19" width="18.23046875" customWidth="1"/>
  </cols>
  <sheetData>
    <row r="1" spans="1:9" x14ac:dyDescent="0.4">
      <c r="A1" s="123" t="s">
        <v>375</v>
      </c>
      <c r="B1" s="108"/>
      <c r="C1" s="108"/>
      <c r="D1" s="108"/>
      <c r="E1" s="108"/>
      <c r="F1" s="108"/>
      <c r="G1" s="108"/>
      <c r="H1" s="108"/>
      <c r="I1" s="6"/>
    </row>
    <row r="2" spans="1:9" x14ac:dyDescent="0.4">
      <c r="A2" s="52"/>
      <c r="B2" s="35"/>
      <c r="C2" s="35"/>
      <c r="D2" s="35"/>
      <c r="E2" s="35"/>
      <c r="F2" s="35"/>
      <c r="G2" s="35"/>
      <c r="H2" s="35"/>
      <c r="I2" s="41"/>
    </row>
    <row r="3" spans="1:9" x14ac:dyDescent="0.4">
      <c r="A3" s="125" t="s">
        <v>378</v>
      </c>
      <c r="B3" s="35" t="s">
        <v>555</v>
      </c>
      <c r="C3" s="35" t="s">
        <v>380</v>
      </c>
      <c r="D3" s="35" t="s">
        <v>381</v>
      </c>
      <c r="E3" s="63" t="s">
        <v>380</v>
      </c>
      <c r="F3" s="35" t="s">
        <v>382</v>
      </c>
      <c r="G3" s="35" t="s">
        <v>380</v>
      </c>
      <c r="H3" s="35" t="s">
        <v>383</v>
      </c>
      <c r="I3" s="41" t="s">
        <v>384</v>
      </c>
    </row>
    <row r="4" spans="1:9" x14ac:dyDescent="0.4">
      <c r="A4" t="s">
        <v>556</v>
      </c>
      <c r="B4" s="35">
        <v>294.39999999999998</v>
      </c>
      <c r="C4" s="35" t="s">
        <v>386</v>
      </c>
      <c r="D4" s="35">
        <v>1</v>
      </c>
      <c r="E4" s="35" t="s">
        <v>387</v>
      </c>
      <c r="F4" s="35">
        <f>B4/1000</f>
        <v>0.2944</v>
      </c>
      <c r="G4" s="35" t="s">
        <v>279</v>
      </c>
      <c r="H4" s="35">
        <f>'A. Databases'!H94</f>
        <v>123.374570578671</v>
      </c>
      <c r="I4" s="41">
        <f>H4*F4</f>
        <v>36.321473578360738</v>
      </c>
    </row>
    <row r="5" spans="1:9" x14ac:dyDescent="0.4">
      <c r="A5" s="9" t="s">
        <v>557</v>
      </c>
      <c r="B5" s="35">
        <v>307.02999999999997</v>
      </c>
      <c r="C5" s="35" t="s">
        <v>386</v>
      </c>
      <c r="D5" s="35">
        <v>1</v>
      </c>
      <c r="E5" s="35" t="s">
        <v>387</v>
      </c>
      <c r="F5" s="35">
        <f>B5/1000</f>
        <v>0.30702999999999997</v>
      </c>
      <c r="G5" s="35" t="s">
        <v>279</v>
      </c>
      <c r="H5" s="35">
        <f>H95</f>
        <v>0</v>
      </c>
      <c r="I5" s="41">
        <f>H5*F5</f>
        <v>0</v>
      </c>
    </row>
    <row r="6" spans="1:9" x14ac:dyDescent="0.4">
      <c r="A6" s="9" t="s">
        <v>558</v>
      </c>
      <c r="B6" s="35">
        <v>239.04</v>
      </c>
      <c r="C6" s="63" t="s">
        <v>386</v>
      </c>
      <c r="D6" s="35">
        <f>263/175</f>
        <v>1.5028571428571429</v>
      </c>
      <c r="E6" s="63" t="s">
        <v>387</v>
      </c>
      <c r="F6" s="35">
        <f>B6/1000</f>
        <v>0.23904</v>
      </c>
      <c r="G6" s="35" t="s">
        <v>279</v>
      </c>
      <c r="H6" s="35">
        <f>R95</f>
        <v>0</v>
      </c>
      <c r="I6" s="41">
        <f>H6*F6</f>
        <v>0</v>
      </c>
    </row>
    <row r="7" spans="1:9" x14ac:dyDescent="0.4">
      <c r="A7" s="125" t="s">
        <v>392</v>
      </c>
      <c r="B7" s="35" t="s">
        <v>379</v>
      </c>
      <c r="C7" s="35" t="s">
        <v>380</v>
      </c>
      <c r="D7" s="35" t="s">
        <v>464</v>
      </c>
      <c r="E7" s="35"/>
      <c r="F7" s="35" t="s">
        <v>382</v>
      </c>
      <c r="G7" s="35" t="s">
        <v>380</v>
      </c>
      <c r="H7" s="35"/>
      <c r="I7" s="41"/>
    </row>
    <row r="8" spans="1:9" x14ac:dyDescent="0.4">
      <c r="A8" s="9" t="s">
        <v>559</v>
      </c>
      <c r="B8" s="63">
        <f>7/8*840</f>
        <v>735</v>
      </c>
      <c r="C8" s="63" t="s">
        <v>500</v>
      </c>
      <c r="D8" s="63">
        <v>0.78600000000000003</v>
      </c>
      <c r="E8" s="63"/>
      <c r="F8" s="63">
        <f>B8*D8/1000</f>
        <v>0.57771000000000006</v>
      </c>
      <c r="G8" s="63" t="s">
        <v>279</v>
      </c>
      <c r="H8" s="63">
        <f>'A. Databases'!H6</f>
        <v>0</v>
      </c>
      <c r="I8" s="70">
        <f>H8*F8</f>
        <v>0</v>
      </c>
    </row>
    <row r="9" spans="1:9" x14ac:dyDescent="0.4">
      <c r="A9" s="9" t="s">
        <v>424</v>
      </c>
      <c r="B9" s="63">
        <v>3500</v>
      </c>
      <c r="C9" s="63" t="s">
        <v>500</v>
      </c>
      <c r="D9" s="63">
        <v>0.90200000000000002</v>
      </c>
      <c r="E9" s="63"/>
      <c r="F9" s="63">
        <f>B9*D9/1000</f>
        <v>3.157</v>
      </c>
      <c r="G9" s="63" t="s">
        <v>279</v>
      </c>
      <c r="H9" s="63">
        <f>'A. Databases'!H19</f>
        <v>0</v>
      </c>
      <c r="I9" s="70">
        <f>H9*F9</f>
        <v>0</v>
      </c>
    </row>
    <row r="10" spans="1:9" x14ac:dyDescent="0.4">
      <c r="A10" s="9" t="s">
        <v>446</v>
      </c>
      <c r="B10" s="35">
        <f>1/8*840</f>
        <v>105</v>
      </c>
      <c r="C10" s="63" t="s">
        <v>500</v>
      </c>
      <c r="D10" s="63">
        <v>0.87</v>
      </c>
      <c r="E10" s="63"/>
      <c r="F10" s="63">
        <f>B10*D10/1000</f>
        <v>9.1350000000000001E-2</v>
      </c>
      <c r="G10" s="63" t="s">
        <v>279</v>
      </c>
      <c r="H10" s="63">
        <f>'A. Databases'!H18</f>
        <v>0</v>
      </c>
      <c r="I10" s="70">
        <f>H10*F10</f>
        <v>0</v>
      </c>
    </row>
    <row r="11" spans="1:9" x14ac:dyDescent="0.4">
      <c r="A11" s="68" t="s">
        <v>395</v>
      </c>
      <c r="B11" s="69">
        <v>0.91</v>
      </c>
      <c r="C11" s="63"/>
      <c r="D11" s="63"/>
      <c r="E11" s="63"/>
      <c r="F11" s="63"/>
      <c r="G11" s="63"/>
      <c r="H11" s="63"/>
      <c r="I11" s="70"/>
    </row>
    <row r="12" spans="1:9" x14ac:dyDescent="0.4">
      <c r="A12" s="68" t="s">
        <v>396</v>
      </c>
      <c r="B12" s="63" t="s">
        <v>379</v>
      </c>
      <c r="C12" s="63" t="s">
        <v>380</v>
      </c>
      <c r="D12" s="63" t="s">
        <v>381</v>
      </c>
      <c r="E12" s="63" t="s">
        <v>380</v>
      </c>
      <c r="F12" s="63" t="s">
        <v>382</v>
      </c>
      <c r="G12" s="63" t="s">
        <v>380</v>
      </c>
      <c r="H12" s="63"/>
      <c r="I12" s="70"/>
    </row>
    <row r="13" spans="1:9" x14ac:dyDescent="0.4">
      <c r="A13" s="24" t="s">
        <v>560</v>
      </c>
      <c r="B13" s="42">
        <v>840.47</v>
      </c>
      <c r="C13" s="42" t="s">
        <v>386</v>
      </c>
      <c r="D13" s="42">
        <v>1</v>
      </c>
      <c r="E13" s="42" t="s">
        <v>387</v>
      </c>
      <c r="F13" s="42">
        <f>B13/1000</f>
        <v>0.84047000000000005</v>
      </c>
      <c r="G13" s="42" t="s">
        <v>279</v>
      </c>
      <c r="H13" s="42">
        <f>I13/F13/B11</f>
        <v>47.489746485856536</v>
      </c>
      <c r="I13" s="45">
        <f>SUM(I4:I11)</f>
        <v>36.321473578360738</v>
      </c>
    </row>
    <row r="17" spans="1:19" x14ac:dyDescent="0.4">
      <c r="A17" s="112" t="s">
        <v>561</v>
      </c>
      <c r="K17" s="144" t="s">
        <v>562</v>
      </c>
    </row>
    <row r="19" spans="1:19" x14ac:dyDescent="0.4">
      <c r="A19" t="s">
        <v>375</v>
      </c>
      <c r="K19" t="s">
        <v>375</v>
      </c>
    </row>
    <row r="21" spans="1:19" x14ac:dyDescent="0.4">
      <c r="A21" s="31" t="s">
        <v>378</v>
      </c>
      <c r="B21" s="108" t="s">
        <v>555</v>
      </c>
      <c r="C21" s="108" t="s">
        <v>380</v>
      </c>
      <c r="D21" s="108" t="s">
        <v>381</v>
      </c>
      <c r="E21" s="94" t="s">
        <v>380</v>
      </c>
      <c r="F21" s="108" t="s">
        <v>382</v>
      </c>
      <c r="G21" s="108" t="s">
        <v>380</v>
      </c>
      <c r="H21" s="108" t="s">
        <v>383</v>
      </c>
      <c r="I21" s="6" t="s">
        <v>384</v>
      </c>
      <c r="K21" s="31" t="s">
        <v>378</v>
      </c>
      <c r="L21" s="108" t="s">
        <v>555</v>
      </c>
      <c r="M21" s="108" t="s">
        <v>380</v>
      </c>
      <c r="N21" s="108" t="s">
        <v>381</v>
      </c>
      <c r="O21" s="94" t="s">
        <v>380</v>
      </c>
      <c r="P21" s="108" t="s">
        <v>382</v>
      </c>
      <c r="Q21" s="108" t="s">
        <v>380</v>
      </c>
      <c r="R21" s="108" t="s">
        <v>383</v>
      </c>
      <c r="S21" s="6" t="s">
        <v>384</v>
      </c>
    </row>
    <row r="22" spans="1:19" x14ac:dyDescent="0.4">
      <c r="A22" s="9" t="s">
        <v>563</v>
      </c>
      <c r="B22" s="35">
        <v>106.17</v>
      </c>
      <c r="C22" s="35" t="s">
        <v>386</v>
      </c>
      <c r="D22" s="35">
        <v>1</v>
      </c>
      <c r="E22" s="35" t="s">
        <v>387</v>
      </c>
      <c r="F22" s="35">
        <f>D22*B22/1000</f>
        <v>0.10617</v>
      </c>
      <c r="G22" s="35" t="s">
        <v>279</v>
      </c>
      <c r="H22" s="35">
        <f>'A. Databases'!H95</f>
        <v>0</v>
      </c>
      <c r="I22" s="41">
        <f>H22*F22</f>
        <v>0</v>
      </c>
      <c r="K22" s="9" t="s">
        <v>564</v>
      </c>
      <c r="L22" s="35">
        <v>92.14</v>
      </c>
      <c r="M22" s="35" t="s">
        <v>386</v>
      </c>
      <c r="N22" s="35">
        <v>1</v>
      </c>
      <c r="O22" s="35" t="s">
        <v>387</v>
      </c>
      <c r="P22" s="35">
        <f>N22*L22/1000</f>
        <v>9.214E-2</v>
      </c>
      <c r="Q22" s="35" t="s">
        <v>279</v>
      </c>
      <c r="R22" s="35">
        <f>'A. Databases'!H22</f>
        <v>0</v>
      </c>
      <c r="S22" s="41">
        <f>R22*P22</f>
        <v>0</v>
      </c>
    </row>
    <row r="23" spans="1:19" x14ac:dyDescent="0.4">
      <c r="A23" s="9" t="s">
        <v>565</v>
      </c>
      <c r="B23" s="35">
        <v>70.900000000000006</v>
      </c>
      <c r="C23" s="35" t="s">
        <v>386</v>
      </c>
      <c r="D23" s="35">
        <v>3</v>
      </c>
      <c r="E23" s="35" t="s">
        <v>387</v>
      </c>
      <c r="F23" s="35">
        <f>D23*B23/1000</f>
        <v>0.21270000000000003</v>
      </c>
      <c r="G23" s="35" t="s">
        <v>279</v>
      </c>
      <c r="H23" s="35">
        <f>'A. Databases'!$H$12</f>
        <v>0</v>
      </c>
      <c r="I23" s="41">
        <f>H23*F23</f>
        <v>0</v>
      </c>
      <c r="K23" s="9" t="s">
        <v>565</v>
      </c>
      <c r="L23" s="35">
        <v>70.900000000000006</v>
      </c>
      <c r="M23" s="35" t="s">
        <v>386</v>
      </c>
      <c r="N23" s="35">
        <v>1.5</v>
      </c>
      <c r="O23" s="35" t="s">
        <v>387</v>
      </c>
      <c r="P23" s="35">
        <f>N23*L23/1000</f>
        <v>0.10635000000000001</v>
      </c>
      <c r="Q23" s="35" t="s">
        <v>279</v>
      </c>
      <c r="R23" s="35">
        <f>'A. Databases'!$H$12</f>
        <v>0</v>
      </c>
      <c r="S23" s="41">
        <f>R23*P23</f>
        <v>0</v>
      </c>
    </row>
    <row r="24" spans="1:19" x14ac:dyDescent="0.4">
      <c r="A24" s="9" t="s">
        <v>160</v>
      </c>
      <c r="B24" s="35"/>
      <c r="C24" s="35"/>
      <c r="D24" s="35"/>
      <c r="E24" s="35"/>
      <c r="F24" s="35"/>
      <c r="G24" s="35"/>
      <c r="H24" s="35"/>
      <c r="I24" s="41"/>
      <c r="K24" s="9" t="s">
        <v>160</v>
      </c>
      <c r="L24" s="35"/>
      <c r="M24" s="35"/>
      <c r="N24" s="35"/>
      <c r="O24" s="35"/>
      <c r="P24" s="35"/>
      <c r="Q24" s="35"/>
      <c r="R24" s="35"/>
      <c r="S24" s="41"/>
    </row>
    <row r="25" spans="1:19" x14ac:dyDescent="0.4">
      <c r="A25" s="112" t="s">
        <v>392</v>
      </c>
      <c r="B25" s="35" t="s">
        <v>555</v>
      </c>
      <c r="C25" s="35" t="s">
        <v>380</v>
      </c>
      <c r="D25" s="35" t="s">
        <v>381</v>
      </c>
      <c r="E25" s="63" t="s">
        <v>380</v>
      </c>
      <c r="F25" s="35" t="s">
        <v>382</v>
      </c>
      <c r="G25" s="35" t="s">
        <v>380</v>
      </c>
      <c r="H25" s="35" t="s">
        <v>383</v>
      </c>
      <c r="I25" s="41" t="s">
        <v>384</v>
      </c>
      <c r="K25" s="112" t="s">
        <v>392</v>
      </c>
      <c r="L25" s="35" t="s">
        <v>555</v>
      </c>
      <c r="M25" s="35" t="s">
        <v>380</v>
      </c>
      <c r="N25" s="35" t="s">
        <v>381</v>
      </c>
      <c r="O25" s="63" t="s">
        <v>380</v>
      </c>
      <c r="P25" s="35" t="s">
        <v>382</v>
      </c>
      <c r="Q25" s="35" t="s">
        <v>380</v>
      </c>
      <c r="R25" s="35" t="s">
        <v>383</v>
      </c>
      <c r="S25" s="41" t="s">
        <v>384</v>
      </c>
    </row>
    <row r="26" spans="1:19" x14ac:dyDescent="0.4">
      <c r="A26" s="9" t="s">
        <v>160</v>
      </c>
      <c r="B26" s="35"/>
      <c r="C26" s="35"/>
      <c r="D26" s="35"/>
      <c r="E26" s="35"/>
      <c r="F26" s="35"/>
      <c r="G26" s="35"/>
      <c r="H26" s="35"/>
      <c r="I26" s="41"/>
      <c r="K26" s="9" t="s">
        <v>160</v>
      </c>
      <c r="L26" s="35"/>
      <c r="M26" s="35"/>
      <c r="N26" s="35"/>
      <c r="O26" s="35"/>
      <c r="P26" s="35"/>
      <c r="Q26" s="35"/>
      <c r="R26" s="35"/>
      <c r="S26" s="41"/>
    </row>
    <row r="27" spans="1:19" x14ac:dyDescent="0.4">
      <c r="A27" s="9" t="s">
        <v>160</v>
      </c>
      <c r="B27" s="35"/>
      <c r="C27" s="35"/>
      <c r="D27" s="35"/>
      <c r="E27" s="35"/>
      <c r="F27" s="35"/>
      <c r="G27" s="35"/>
      <c r="H27" s="35"/>
      <c r="I27" s="41"/>
      <c r="K27" s="9" t="s">
        <v>160</v>
      </c>
      <c r="L27" s="35"/>
      <c r="M27" s="35"/>
      <c r="N27" s="35"/>
      <c r="O27" s="35"/>
      <c r="P27" s="35"/>
      <c r="Q27" s="35"/>
      <c r="R27" s="35"/>
      <c r="S27" s="41"/>
    </row>
    <row r="28" spans="1:19" x14ac:dyDescent="0.4">
      <c r="A28" s="112" t="s">
        <v>395</v>
      </c>
      <c r="B28" s="145">
        <v>0.95</v>
      </c>
      <c r="C28" s="35"/>
      <c r="D28" s="35"/>
      <c r="E28" s="35"/>
      <c r="F28" s="35"/>
      <c r="G28" s="35"/>
      <c r="H28" s="35"/>
      <c r="I28" s="41"/>
      <c r="K28" s="112" t="s">
        <v>395</v>
      </c>
      <c r="L28" s="145">
        <v>0.95</v>
      </c>
      <c r="M28" s="35"/>
      <c r="N28" s="35"/>
      <c r="O28" s="35"/>
      <c r="P28" s="35"/>
      <c r="Q28" s="35"/>
      <c r="R28" s="35"/>
      <c r="S28" s="41"/>
    </row>
    <row r="29" spans="1:19" x14ac:dyDescent="0.4">
      <c r="A29" s="112" t="s">
        <v>396</v>
      </c>
      <c r="B29" s="35" t="s">
        <v>555</v>
      </c>
      <c r="C29" s="35" t="s">
        <v>380</v>
      </c>
      <c r="D29" s="35" t="s">
        <v>381</v>
      </c>
      <c r="E29" s="63" t="s">
        <v>380</v>
      </c>
      <c r="F29" s="35" t="s">
        <v>382</v>
      </c>
      <c r="G29" s="35" t="s">
        <v>380</v>
      </c>
      <c r="H29" s="35" t="s">
        <v>383</v>
      </c>
      <c r="I29" s="41" t="s">
        <v>384</v>
      </c>
      <c r="K29" s="112" t="s">
        <v>396</v>
      </c>
      <c r="L29" s="35" t="s">
        <v>555</v>
      </c>
      <c r="M29" s="35" t="s">
        <v>380</v>
      </c>
      <c r="N29" s="35" t="s">
        <v>381</v>
      </c>
      <c r="O29" s="63" t="s">
        <v>380</v>
      </c>
      <c r="P29" s="35" t="s">
        <v>382</v>
      </c>
      <c r="Q29" s="35" t="s">
        <v>380</v>
      </c>
      <c r="R29" s="35" t="s">
        <v>383</v>
      </c>
      <c r="S29" s="41" t="s">
        <v>384</v>
      </c>
    </row>
    <row r="30" spans="1:19" x14ac:dyDescent="0.4">
      <c r="A30" s="24" t="s">
        <v>566</v>
      </c>
      <c r="B30" s="42">
        <v>312.82</v>
      </c>
      <c r="C30" s="42" t="s">
        <v>386</v>
      </c>
      <c r="D30" s="42">
        <v>1</v>
      </c>
      <c r="E30" s="42" t="s">
        <v>387</v>
      </c>
      <c r="F30" s="42">
        <f>D30*B30/1000</f>
        <v>0.31281999999999999</v>
      </c>
      <c r="G30" s="42" t="s">
        <v>279</v>
      </c>
      <c r="H30" s="42">
        <f>I30/F30/B28</f>
        <v>0</v>
      </c>
      <c r="I30" s="45">
        <f>SUM(I22,I23,I26,I27,I28)</f>
        <v>0</v>
      </c>
      <c r="K30" s="24" t="s">
        <v>566</v>
      </c>
      <c r="L30" s="42">
        <v>195.47</v>
      </c>
      <c r="M30" s="42" t="s">
        <v>386</v>
      </c>
      <c r="N30" s="42">
        <v>1</v>
      </c>
      <c r="O30" s="42" t="s">
        <v>387</v>
      </c>
      <c r="P30" s="42">
        <f>N30*L30/1000</f>
        <v>0.19547</v>
      </c>
      <c r="Q30" s="42" t="s">
        <v>279</v>
      </c>
      <c r="R30" s="42">
        <f>S30/P30/L28</f>
        <v>0</v>
      </c>
      <c r="S30" s="45">
        <f>SUM(S22,S23,S26,S27,S28)</f>
        <v>0</v>
      </c>
    </row>
    <row r="32" spans="1:19" x14ac:dyDescent="0.4">
      <c r="A32" t="s">
        <v>397</v>
      </c>
      <c r="K32" t="s">
        <v>397</v>
      </c>
    </row>
    <row r="34" spans="1:19" x14ac:dyDescent="0.4">
      <c r="A34" s="31" t="s">
        <v>378</v>
      </c>
      <c r="B34" s="108" t="s">
        <v>555</v>
      </c>
      <c r="C34" s="108" t="s">
        <v>380</v>
      </c>
      <c r="D34" s="108" t="s">
        <v>381</v>
      </c>
      <c r="E34" s="94" t="s">
        <v>380</v>
      </c>
      <c r="F34" s="108" t="s">
        <v>382</v>
      </c>
      <c r="G34" s="108" t="s">
        <v>380</v>
      </c>
      <c r="H34" s="108" t="s">
        <v>383</v>
      </c>
      <c r="I34" s="6" t="s">
        <v>384</v>
      </c>
      <c r="K34" s="31" t="s">
        <v>378</v>
      </c>
      <c r="L34" s="108" t="s">
        <v>555</v>
      </c>
      <c r="M34" s="108" t="s">
        <v>380</v>
      </c>
      <c r="N34" s="108" t="s">
        <v>381</v>
      </c>
      <c r="O34" s="94" t="s">
        <v>380</v>
      </c>
      <c r="P34" s="108" t="s">
        <v>382</v>
      </c>
      <c r="Q34" s="108" t="s">
        <v>380</v>
      </c>
      <c r="R34" s="108" t="s">
        <v>383</v>
      </c>
      <c r="S34" s="6" t="s">
        <v>384</v>
      </c>
    </row>
    <row r="35" spans="1:19" x14ac:dyDescent="0.4">
      <c r="A35" s="9" t="s">
        <v>566</v>
      </c>
      <c r="B35" s="35">
        <v>312.82</v>
      </c>
      <c r="C35" s="35" t="s">
        <v>386</v>
      </c>
      <c r="D35" s="35">
        <v>1</v>
      </c>
      <c r="E35" s="35" t="s">
        <v>387</v>
      </c>
      <c r="F35" s="35">
        <v>0.31281999999999999</v>
      </c>
      <c r="G35" s="35" t="s">
        <v>279</v>
      </c>
      <c r="H35" s="35">
        <f>H30</f>
        <v>0</v>
      </c>
      <c r="I35" s="41">
        <f>H35*F35</f>
        <v>0</v>
      </c>
      <c r="K35" s="9" t="s">
        <v>566</v>
      </c>
      <c r="L35" s="35">
        <v>195.47</v>
      </c>
      <c r="M35" s="35" t="s">
        <v>386</v>
      </c>
      <c r="N35" s="35">
        <v>1</v>
      </c>
      <c r="O35" s="35" t="s">
        <v>387</v>
      </c>
      <c r="P35" s="35">
        <v>0.31281999999999999</v>
      </c>
      <c r="Q35" s="35" t="s">
        <v>279</v>
      </c>
      <c r="R35" s="35">
        <f>R30</f>
        <v>0</v>
      </c>
      <c r="S35" s="41">
        <f>R35*P35</f>
        <v>0</v>
      </c>
    </row>
    <row r="36" spans="1:19" x14ac:dyDescent="0.4">
      <c r="A36" s="86" t="s">
        <v>567</v>
      </c>
      <c r="B36" s="35">
        <v>20.010000000000002</v>
      </c>
      <c r="C36" s="35" t="s">
        <v>386</v>
      </c>
      <c r="D36" s="35">
        <v>6</v>
      </c>
      <c r="E36" s="35" t="s">
        <v>387</v>
      </c>
      <c r="F36" s="35">
        <f>D36*B36/1000</f>
        <v>0.12006</v>
      </c>
      <c r="G36" s="35" t="s">
        <v>279</v>
      </c>
      <c r="H36" s="35">
        <f>'A. Databases'!$H$96</f>
        <v>0</v>
      </c>
      <c r="I36" s="41">
        <f>H36*F36</f>
        <v>0</v>
      </c>
      <c r="K36" s="86" t="s">
        <v>567</v>
      </c>
      <c r="L36" s="35">
        <v>20.010000000000002</v>
      </c>
      <c r="M36" s="35" t="s">
        <v>386</v>
      </c>
      <c r="N36" s="35">
        <v>3</v>
      </c>
      <c r="O36" s="35" t="s">
        <v>387</v>
      </c>
      <c r="P36" s="35">
        <f>N36*L36/1000</f>
        <v>6.003E-2</v>
      </c>
      <c r="Q36" s="35" t="s">
        <v>279</v>
      </c>
      <c r="R36" s="35">
        <f>'A. Databases'!$H$96</f>
        <v>0</v>
      </c>
      <c r="S36" s="41">
        <f>R36*P36</f>
        <v>0</v>
      </c>
    </row>
    <row r="37" spans="1:19" x14ac:dyDescent="0.4">
      <c r="A37" s="9"/>
      <c r="B37" s="35"/>
      <c r="C37" s="35"/>
      <c r="D37" s="35"/>
      <c r="E37" s="35"/>
      <c r="F37" s="35"/>
      <c r="G37" s="35"/>
      <c r="H37" s="35"/>
      <c r="I37" s="41"/>
      <c r="K37" s="9"/>
      <c r="L37" s="35"/>
      <c r="M37" s="35"/>
      <c r="N37" s="35"/>
      <c r="O37" s="35"/>
      <c r="P37" s="35"/>
      <c r="Q37" s="35"/>
      <c r="R37" s="35"/>
      <c r="S37" s="41"/>
    </row>
    <row r="38" spans="1:19" x14ac:dyDescent="0.4">
      <c r="A38" s="112" t="s">
        <v>392</v>
      </c>
      <c r="B38" s="35" t="s">
        <v>555</v>
      </c>
      <c r="C38" s="35" t="s">
        <v>380</v>
      </c>
      <c r="D38" s="35" t="s">
        <v>381</v>
      </c>
      <c r="E38" s="63" t="s">
        <v>380</v>
      </c>
      <c r="F38" s="35" t="s">
        <v>382</v>
      </c>
      <c r="G38" s="35" t="s">
        <v>380</v>
      </c>
      <c r="H38" s="35" t="s">
        <v>383</v>
      </c>
      <c r="I38" s="41" t="s">
        <v>384</v>
      </c>
      <c r="K38" s="112" t="s">
        <v>392</v>
      </c>
      <c r="L38" s="35" t="s">
        <v>555</v>
      </c>
      <c r="M38" s="35" t="s">
        <v>380</v>
      </c>
      <c r="N38" s="35" t="s">
        <v>381</v>
      </c>
      <c r="O38" s="63" t="s">
        <v>380</v>
      </c>
      <c r="P38" s="35" t="s">
        <v>382</v>
      </c>
      <c r="Q38" s="35" t="s">
        <v>380</v>
      </c>
      <c r="R38" s="35" t="s">
        <v>383</v>
      </c>
      <c r="S38" s="41" t="s">
        <v>384</v>
      </c>
    </row>
    <row r="39" spans="1:19" x14ac:dyDescent="0.4">
      <c r="A39" s="9" t="s">
        <v>160</v>
      </c>
      <c r="B39" s="35"/>
      <c r="C39" s="35"/>
      <c r="D39" s="35"/>
      <c r="E39" s="35"/>
      <c r="F39" s="35"/>
      <c r="G39" s="35"/>
      <c r="H39" s="35"/>
      <c r="I39" s="41"/>
      <c r="K39" s="9" t="s">
        <v>160</v>
      </c>
      <c r="L39" s="35"/>
      <c r="M39" s="35"/>
      <c r="N39" s="35"/>
      <c r="O39" s="35"/>
      <c r="P39" s="35"/>
      <c r="Q39" s="35"/>
      <c r="R39" s="35"/>
      <c r="S39" s="41"/>
    </row>
    <row r="40" spans="1:19" x14ac:dyDescent="0.4">
      <c r="A40" s="9" t="s">
        <v>160</v>
      </c>
      <c r="B40" s="35"/>
      <c r="C40" s="35"/>
      <c r="D40" s="35"/>
      <c r="E40" s="35"/>
      <c r="F40" s="35"/>
      <c r="G40" s="35"/>
      <c r="H40" s="35"/>
      <c r="I40" s="41"/>
      <c r="K40" s="9" t="s">
        <v>160</v>
      </c>
      <c r="L40" s="35"/>
      <c r="M40" s="35"/>
      <c r="N40" s="35"/>
      <c r="O40" s="35"/>
      <c r="P40" s="35"/>
      <c r="Q40" s="35"/>
      <c r="R40" s="35"/>
      <c r="S40" s="41"/>
    </row>
    <row r="41" spans="1:19" x14ac:dyDescent="0.4">
      <c r="A41" s="112" t="s">
        <v>395</v>
      </c>
      <c r="B41" s="145">
        <v>1</v>
      </c>
      <c r="C41" s="35"/>
      <c r="D41" s="35"/>
      <c r="E41" s="35"/>
      <c r="F41" s="35"/>
      <c r="G41" s="35"/>
      <c r="H41" s="35"/>
      <c r="I41" s="41"/>
      <c r="K41" s="112" t="s">
        <v>395</v>
      </c>
      <c r="L41" s="145">
        <v>1</v>
      </c>
      <c r="M41" s="35"/>
      <c r="N41" s="35"/>
      <c r="O41" s="35"/>
      <c r="P41" s="35"/>
      <c r="Q41" s="35"/>
      <c r="R41" s="35"/>
      <c r="S41" s="41"/>
    </row>
    <row r="42" spans="1:19" x14ac:dyDescent="0.4">
      <c r="A42" s="112" t="s">
        <v>396</v>
      </c>
      <c r="B42" s="35" t="s">
        <v>555</v>
      </c>
      <c r="C42" s="35" t="s">
        <v>380</v>
      </c>
      <c r="D42" s="35" t="s">
        <v>381</v>
      </c>
      <c r="E42" s="63" t="s">
        <v>380</v>
      </c>
      <c r="F42" s="35" t="s">
        <v>382</v>
      </c>
      <c r="G42" s="35" t="s">
        <v>380</v>
      </c>
      <c r="H42" s="35" t="s">
        <v>383</v>
      </c>
      <c r="I42" s="41" t="s">
        <v>384</v>
      </c>
      <c r="K42" s="112" t="s">
        <v>396</v>
      </c>
      <c r="L42" s="35" t="s">
        <v>555</v>
      </c>
      <c r="M42" s="35" t="s">
        <v>380</v>
      </c>
      <c r="N42" s="35" t="s">
        <v>381</v>
      </c>
      <c r="O42" s="63" t="s">
        <v>380</v>
      </c>
      <c r="P42" s="35" t="s">
        <v>382</v>
      </c>
      <c r="Q42" s="35" t="s">
        <v>380</v>
      </c>
      <c r="R42" s="35" t="s">
        <v>383</v>
      </c>
      <c r="S42" s="41" t="s">
        <v>384</v>
      </c>
    </row>
    <row r="43" spans="1:19" x14ac:dyDescent="0.4">
      <c r="A43" s="24" t="s">
        <v>568</v>
      </c>
      <c r="B43" s="42">
        <v>214.11</v>
      </c>
      <c r="C43" s="42" t="s">
        <v>386</v>
      </c>
      <c r="D43" s="42">
        <v>1</v>
      </c>
      <c r="E43" s="42" t="s">
        <v>387</v>
      </c>
      <c r="F43" s="42">
        <f>B43*D43/1000</f>
        <v>0.21411000000000002</v>
      </c>
      <c r="G43" s="42"/>
      <c r="H43" s="42">
        <f>I43/F43/B41</f>
        <v>0</v>
      </c>
      <c r="I43" s="45">
        <f>SUM(I35,I36,I37,I39,I40)</f>
        <v>0</v>
      </c>
      <c r="K43" s="24" t="s">
        <v>568</v>
      </c>
      <c r="L43" s="42">
        <v>146.11000000000001</v>
      </c>
      <c r="M43" s="42" t="s">
        <v>386</v>
      </c>
      <c r="N43" s="42">
        <v>1</v>
      </c>
      <c r="O43" s="42" t="s">
        <v>387</v>
      </c>
      <c r="P43" s="42">
        <f>L43*N43/1000</f>
        <v>0.14611000000000002</v>
      </c>
      <c r="Q43" s="42"/>
      <c r="R43" s="42">
        <f>S43/P43/L41</f>
        <v>0</v>
      </c>
      <c r="S43" s="45">
        <f>SUM(S35,S36,S37,S39,S40)</f>
        <v>0</v>
      </c>
    </row>
    <row r="45" spans="1:19" x14ac:dyDescent="0.4">
      <c r="A45" t="s">
        <v>400</v>
      </c>
      <c r="K45" t="s">
        <v>400</v>
      </c>
    </row>
    <row r="47" spans="1:19" x14ac:dyDescent="0.4">
      <c r="A47" s="31" t="s">
        <v>378</v>
      </c>
      <c r="B47" s="108" t="s">
        <v>555</v>
      </c>
      <c r="C47" s="108" t="s">
        <v>380</v>
      </c>
      <c r="D47" s="108" t="s">
        <v>381</v>
      </c>
      <c r="E47" s="94" t="s">
        <v>380</v>
      </c>
      <c r="F47" s="108" t="s">
        <v>382</v>
      </c>
      <c r="G47" s="108" t="s">
        <v>380</v>
      </c>
      <c r="H47" s="108" t="s">
        <v>383</v>
      </c>
      <c r="I47" s="6" t="s">
        <v>384</v>
      </c>
      <c r="K47" s="31" t="s">
        <v>378</v>
      </c>
      <c r="L47" s="108" t="s">
        <v>555</v>
      </c>
      <c r="M47" s="108" t="s">
        <v>380</v>
      </c>
      <c r="N47" s="108" t="s">
        <v>381</v>
      </c>
      <c r="O47" s="94" t="s">
        <v>380</v>
      </c>
      <c r="P47" s="108" t="s">
        <v>382</v>
      </c>
      <c r="Q47" s="108" t="s">
        <v>380</v>
      </c>
      <c r="R47" s="108" t="s">
        <v>383</v>
      </c>
      <c r="S47" s="6" t="s">
        <v>384</v>
      </c>
    </row>
    <row r="48" spans="1:19" x14ac:dyDescent="0.4">
      <c r="A48" s="9" t="s">
        <v>568</v>
      </c>
      <c r="B48" s="35">
        <v>214.11</v>
      </c>
      <c r="C48" s="35" t="s">
        <v>386</v>
      </c>
      <c r="D48" s="35">
        <v>1</v>
      </c>
      <c r="E48" s="35" t="s">
        <v>387</v>
      </c>
      <c r="F48" s="35">
        <v>0.21410999999999999</v>
      </c>
      <c r="G48" s="35" t="s">
        <v>279</v>
      </c>
      <c r="H48" s="35">
        <f>H43</f>
        <v>0</v>
      </c>
      <c r="I48" s="41">
        <f>H48*F48</f>
        <v>0</v>
      </c>
      <c r="K48" s="9" t="s">
        <v>568</v>
      </c>
      <c r="L48" s="35">
        <v>146.11000000000001</v>
      </c>
      <c r="M48" s="35" t="s">
        <v>386</v>
      </c>
      <c r="N48" s="35">
        <v>1</v>
      </c>
      <c r="O48" s="35" t="s">
        <v>387</v>
      </c>
      <c r="P48" s="35">
        <v>0.21410999999999999</v>
      </c>
      <c r="Q48" s="35" t="s">
        <v>279</v>
      </c>
      <c r="R48" s="35">
        <f>R43</f>
        <v>0</v>
      </c>
      <c r="S48" s="41">
        <f>R48*P48</f>
        <v>0</v>
      </c>
    </row>
    <row r="49" spans="1:19" x14ac:dyDescent="0.4">
      <c r="A49" s="86" t="s">
        <v>569</v>
      </c>
      <c r="B49" s="35">
        <v>98.078999999999994</v>
      </c>
      <c r="C49" s="35" t="s">
        <v>386</v>
      </c>
      <c r="D49" s="35">
        <v>1</v>
      </c>
      <c r="E49" s="35" t="s">
        <v>387</v>
      </c>
      <c r="F49" s="35">
        <f>B49*D49/1000</f>
        <v>9.8079E-2</v>
      </c>
      <c r="G49" s="35" t="s">
        <v>279</v>
      </c>
      <c r="H49" s="35">
        <f>'A. Databases'!$H$16</f>
        <v>0</v>
      </c>
      <c r="I49" s="41">
        <f>H49*F49</f>
        <v>0</v>
      </c>
      <c r="K49" s="86" t="s">
        <v>569</v>
      </c>
      <c r="L49" s="35">
        <v>98.078999999999994</v>
      </c>
      <c r="M49" s="35" t="s">
        <v>386</v>
      </c>
      <c r="N49" s="35">
        <v>1</v>
      </c>
      <c r="O49" s="35" t="s">
        <v>387</v>
      </c>
      <c r="P49" s="35">
        <f>L49*N49/1000</f>
        <v>9.8079E-2</v>
      </c>
      <c r="Q49" s="35" t="s">
        <v>279</v>
      </c>
      <c r="R49" s="35">
        <f>'A. Databases'!$H$16</f>
        <v>0</v>
      </c>
      <c r="S49" s="41">
        <f>R49*P49</f>
        <v>0</v>
      </c>
    </row>
    <row r="50" spans="1:19" x14ac:dyDescent="0.4">
      <c r="A50" s="9" t="s">
        <v>570</v>
      </c>
      <c r="B50" s="35">
        <v>0</v>
      </c>
      <c r="C50" s="35"/>
      <c r="D50" s="35"/>
      <c r="E50" s="35"/>
      <c r="F50" s="35"/>
      <c r="G50" s="35"/>
      <c r="H50" s="35" t="s">
        <v>571</v>
      </c>
      <c r="I50" s="41"/>
      <c r="K50" s="9" t="s">
        <v>570</v>
      </c>
      <c r="L50" s="35">
        <v>0</v>
      </c>
      <c r="M50" s="35"/>
      <c r="N50" s="35"/>
      <c r="O50" s="35"/>
      <c r="P50" s="35"/>
      <c r="Q50" s="35"/>
      <c r="R50" s="35" t="s">
        <v>571</v>
      </c>
      <c r="S50" s="41"/>
    </row>
    <row r="51" spans="1:19" x14ac:dyDescent="0.4">
      <c r="A51" s="112" t="s">
        <v>392</v>
      </c>
      <c r="B51" s="35" t="s">
        <v>555</v>
      </c>
      <c r="C51" s="35" t="s">
        <v>380</v>
      </c>
      <c r="D51" s="35" t="s">
        <v>381</v>
      </c>
      <c r="E51" s="63" t="s">
        <v>380</v>
      </c>
      <c r="F51" s="35" t="s">
        <v>382</v>
      </c>
      <c r="G51" s="35" t="s">
        <v>380</v>
      </c>
      <c r="H51" s="35" t="s">
        <v>383</v>
      </c>
      <c r="I51" s="41" t="s">
        <v>384</v>
      </c>
      <c r="K51" s="112" t="s">
        <v>392</v>
      </c>
      <c r="L51" s="35" t="s">
        <v>555</v>
      </c>
      <c r="M51" s="35" t="s">
        <v>380</v>
      </c>
      <c r="N51" s="35" t="s">
        <v>381</v>
      </c>
      <c r="O51" s="63" t="s">
        <v>380</v>
      </c>
      <c r="P51" s="35" t="s">
        <v>382</v>
      </c>
      <c r="Q51" s="35" t="s">
        <v>380</v>
      </c>
      <c r="R51" s="35" t="s">
        <v>383</v>
      </c>
      <c r="S51" s="41" t="s">
        <v>384</v>
      </c>
    </row>
    <row r="52" spans="1:19" x14ac:dyDescent="0.4">
      <c r="A52" s="9" t="s">
        <v>572</v>
      </c>
      <c r="B52" s="63">
        <v>60.052</v>
      </c>
      <c r="C52" s="63" t="s">
        <v>386</v>
      </c>
      <c r="D52" s="35">
        <v>10</v>
      </c>
      <c r="E52" s="63" t="s">
        <v>387</v>
      </c>
      <c r="F52" s="35">
        <f>D52*B52/1000</f>
        <v>0.60051999999999994</v>
      </c>
      <c r="G52" s="63" t="s">
        <v>279</v>
      </c>
      <c r="H52" s="35">
        <f>'A. Databases'!H59</f>
        <v>0</v>
      </c>
      <c r="I52" s="41">
        <f>H52*F52</f>
        <v>0</v>
      </c>
      <c r="K52" s="9" t="s">
        <v>572</v>
      </c>
      <c r="L52" s="63">
        <v>60.052</v>
      </c>
      <c r="M52" s="63" t="s">
        <v>386</v>
      </c>
      <c r="N52" s="35">
        <v>10</v>
      </c>
      <c r="O52" s="63" t="s">
        <v>387</v>
      </c>
      <c r="P52" s="35">
        <f>N52*L52/1000</f>
        <v>0.60051999999999994</v>
      </c>
      <c r="Q52" s="63" t="s">
        <v>279</v>
      </c>
      <c r="R52" s="35">
        <f>'A. Databases'!H59</f>
        <v>0</v>
      </c>
      <c r="S52" s="41">
        <f>R52*P52</f>
        <v>0</v>
      </c>
    </row>
    <row r="53" spans="1:19" x14ac:dyDescent="0.4">
      <c r="A53" s="9" t="s">
        <v>160</v>
      </c>
      <c r="B53" s="35"/>
      <c r="C53" s="35"/>
      <c r="D53" s="35"/>
      <c r="E53" s="35"/>
      <c r="F53" s="35"/>
      <c r="G53" s="35"/>
      <c r="H53" s="35"/>
      <c r="I53" s="41"/>
      <c r="K53" s="9" t="s">
        <v>160</v>
      </c>
      <c r="L53" s="35"/>
      <c r="M53" s="35"/>
      <c r="N53" s="35"/>
      <c r="O53" s="35"/>
      <c r="P53" s="35"/>
      <c r="Q53" s="35"/>
      <c r="R53" s="35"/>
      <c r="S53" s="41"/>
    </row>
    <row r="54" spans="1:19" x14ac:dyDescent="0.4">
      <c r="A54" s="112" t="s">
        <v>395</v>
      </c>
      <c r="B54" s="145">
        <v>0.93</v>
      </c>
      <c r="C54" s="35"/>
      <c r="D54" s="35"/>
      <c r="E54" s="35"/>
      <c r="F54" s="35"/>
      <c r="G54" s="35"/>
      <c r="H54" s="35"/>
      <c r="I54" s="41"/>
      <c r="K54" s="112" t="s">
        <v>395</v>
      </c>
      <c r="L54" s="145">
        <v>0.93</v>
      </c>
      <c r="M54" s="35"/>
      <c r="N54" s="35"/>
      <c r="O54" s="35"/>
      <c r="P54" s="35"/>
      <c r="Q54" s="35"/>
      <c r="R54" s="35"/>
      <c r="S54" s="41"/>
    </row>
    <row r="55" spans="1:19" x14ac:dyDescent="0.4">
      <c r="A55" s="112" t="s">
        <v>396</v>
      </c>
      <c r="B55" s="35" t="s">
        <v>555</v>
      </c>
      <c r="C55" s="35" t="s">
        <v>380</v>
      </c>
      <c r="D55" s="35" t="s">
        <v>381</v>
      </c>
      <c r="E55" s="63" t="s">
        <v>380</v>
      </c>
      <c r="F55" s="35" t="s">
        <v>382</v>
      </c>
      <c r="G55" s="35" t="s">
        <v>380</v>
      </c>
      <c r="H55" s="35" t="s">
        <v>383</v>
      </c>
      <c r="I55" s="41" t="s">
        <v>384</v>
      </c>
      <c r="K55" s="112" t="s">
        <v>396</v>
      </c>
      <c r="L55" s="35" t="s">
        <v>555</v>
      </c>
      <c r="M55" s="35" t="s">
        <v>380</v>
      </c>
      <c r="N55" s="35" t="s">
        <v>381</v>
      </c>
      <c r="O55" s="63" t="s">
        <v>380</v>
      </c>
      <c r="P55" s="35" t="s">
        <v>382</v>
      </c>
      <c r="Q55" s="35" t="s">
        <v>380</v>
      </c>
      <c r="R55" s="35" t="s">
        <v>383</v>
      </c>
      <c r="S55" s="41" t="s">
        <v>384</v>
      </c>
    </row>
    <row r="56" spans="1:19" x14ac:dyDescent="0.4">
      <c r="A56" s="24" t="s">
        <v>573</v>
      </c>
      <c r="B56" s="42">
        <v>293.01</v>
      </c>
      <c r="C56" s="42" t="s">
        <v>386</v>
      </c>
      <c r="D56" s="42">
        <v>1</v>
      </c>
      <c r="E56" s="42" t="s">
        <v>387</v>
      </c>
      <c r="F56" s="42">
        <f>D56*B56/1000</f>
        <v>0.29300999999999999</v>
      </c>
      <c r="G56" s="42" t="s">
        <v>279</v>
      </c>
      <c r="H56" s="42">
        <f>I56/F56/B54</f>
        <v>0</v>
      </c>
      <c r="I56" s="45">
        <f>SUM(I48,I50,I49,I52,I53)</f>
        <v>0</v>
      </c>
      <c r="K56" s="24" t="s">
        <v>573</v>
      </c>
      <c r="L56" s="42">
        <v>225.01</v>
      </c>
      <c r="M56" s="42" t="s">
        <v>386</v>
      </c>
      <c r="N56" s="42">
        <v>1</v>
      </c>
      <c r="O56" s="42" t="s">
        <v>387</v>
      </c>
      <c r="P56" s="42">
        <f>N56*L56/1000</f>
        <v>0.22500999999999999</v>
      </c>
      <c r="Q56" s="42" t="s">
        <v>279</v>
      </c>
      <c r="R56" s="42">
        <f>S56/P56/L54</f>
        <v>0</v>
      </c>
      <c r="S56" s="45">
        <f>SUM(S48,S50,S49,S52,S53)</f>
        <v>0</v>
      </c>
    </row>
    <row r="58" spans="1:19" x14ac:dyDescent="0.4">
      <c r="A58" t="s">
        <v>404</v>
      </c>
      <c r="K58" t="s">
        <v>404</v>
      </c>
    </row>
    <row r="60" spans="1:19" x14ac:dyDescent="0.4">
      <c r="A60" s="31" t="s">
        <v>378</v>
      </c>
      <c r="B60" s="108" t="s">
        <v>555</v>
      </c>
      <c r="C60" s="108" t="s">
        <v>380</v>
      </c>
      <c r="D60" s="108" t="s">
        <v>381</v>
      </c>
      <c r="E60" s="94" t="s">
        <v>380</v>
      </c>
      <c r="F60" s="108" t="s">
        <v>382</v>
      </c>
      <c r="G60" s="108" t="s">
        <v>380</v>
      </c>
      <c r="H60" s="108" t="s">
        <v>383</v>
      </c>
      <c r="I60" s="6" t="s">
        <v>384</v>
      </c>
      <c r="K60" s="31" t="s">
        <v>378</v>
      </c>
      <c r="L60" s="108" t="s">
        <v>555</v>
      </c>
      <c r="M60" s="108" t="s">
        <v>380</v>
      </c>
      <c r="N60" s="108" t="s">
        <v>381</v>
      </c>
      <c r="O60" s="94" t="s">
        <v>380</v>
      </c>
      <c r="P60" s="108" t="s">
        <v>382</v>
      </c>
      <c r="Q60" s="108" t="s">
        <v>380</v>
      </c>
      <c r="R60" s="108" t="s">
        <v>383</v>
      </c>
      <c r="S60" s="6" t="s">
        <v>384</v>
      </c>
    </row>
    <row r="61" spans="1:19" x14ac:dyDescent="0.4">
      <c r="A61" s="9" t="s">
        <v>573</v>
      </c>
      <c r="B61" s="35">
        <v>214.11</v>
      </c>
      <c r="C61" s="35" t="s">
        <v>386</v>
      </c>
      <c r="D61" s="35">
        <v>1</v>
      </c>
      <c r="E61" s="35" t="s">
        <v>387</v>
      </c>
      <c r="F61" s="35">
        <v>0.21410999999999999</v>
      </c>
      <c r="G61" s="35" t="s">
        <v>279</v>
      </c>
      <c r="H61" s="35">
        <f>H56</f>
        <v>0</v>
      </c>
      <c r="I61" s="41">
        <f>H61*F61</f>
        <v>0</v>
      </c>
      <c r="K61" s="9" t="s">
        <v>573</v>
      </c>
      <c r="L61" s="35">
        <v>225.01</v>
      </c>
      <c r="M61" s="35" t="s">
        <v>386</v>
      </c>
      <c r="N61" s="35">
        <v>1</v>
      </c>
      <c r="O61" s="35" t="s">
        <v>387</v>
      </c>
      <c r="P61" s="35">
        <v>0.21410999999999999</v>
      </c>
      <c r="Q61" s="35" t="s">
        <v>279</v>
      </c>
      <c r="R61" s="35">
        <f>R56</f>
        <v>0</v>
      </c>
      <c r="S61" s="41">
        <f>R61*P61</f>
        <v>0</v>
      </c>
    </row>
    <row r="62" spans="1:19" x14ac:dyDescent="0.4">
      <c r="A62" s="86" t="s">
        <v>574</v>
      </c>
      <c r="B62" s="35">
        <v>73.09</v>
      </c>
      <c r="C62" s="35" t="s">
        <v>386</v>
      </c>
      <c r="D62" s="35">
        <v>3</v>
      </c>
      <c r="E62" s="35" t="s">
        <v>387</v>
      </c>
      <c r="F62" s="35">
        <f>B62*D62/1000</f>
        <v>0.21927000000000002</v>
      </c>
      <c r="G62" s="35" t="s">
        <v>279</v>
      </c>
      <c r="H62" s="35">
        <f>'A. Databases'!$H$97</f>
        <v>0</v>
      </c>
      <c r="I62" s="41">
        <f>H62*F62</f>
        <v>0</v>
      </c>
      <c r="K62" s="86" t="s">
        <v>574</v>
      </c>
      <c r="L62" s="35">
        <v>73.09</v>
      </c>
      <c r="M62" s="35" t="s">
        <v>386</v>
      </c>
      <c r="N62" s="35">
        <v>1.5</v>
      </c>
      <c r="O62" s="35" t="s">
        <v>387</v>
      </c>
      <c r="P62" s="35">
        <f>L62*N62/1000</f>
        <v>0.10963500000000001</v>
      </c>
      <c r="Q62" s="35" t="s">
        <v>279</v>
      </c>
      <c r="R62" s="35">
        <f>'A. Databases'!$H$97</f>
        <v>0</v>
      </c>
      <c r="S62" s="41">
        <f>R62*P62</f>
        <v>0</v>
      </c>
    </row>
    <row r="63" spans="1:19" x14ac:dyDescent="0.4">
      <c r="A63" s="86" t="s">
        <v>575</v>
      </c>
      <c r="B63" s="35">
        <v>102.85</v>
      </c>
      <c r="C63" s="35" t="s">
        <v>386</v>
      </c>
      <c r="D63" s="35">
        <v>1.05</v>
      </c>
      <c r="E63" s="35" t="s">
        <v>387</v>
      </c>
      <c r="F63" s="35">
        <f>D63*B63/1000</f>
        <v>0.10799249999999999</v>
      </c>
      <c r="G63" s="35" t="s">
        <v>279</v>
      </c>
      <c r="H63" s="35"/>
      <c r="I63" s="41">
        <f>H63*F63</f>
        <v>0</v>
      </c>
      <c r="K63" s="86" t="s">
        <v>575</v>
      </c>
      <c r="L63" s="35">
        <v>102.85</v>
      </c>
      <c r="M63" s="35" t="s">
        <v>386</v>
      </c>
      <c r="N63" s="35">
        <v>0.52500000000000002</v>
      </c>
      <c r="O63" s="35" t="s">
        <v>387</v>
      </c>
      <c r="P63" s="35">
        <f>N63*L63/1000</f>
        <v>5.3996249999999996E-2</v>
      </c>
      <c r="Q63" s="35" t="s">
        <v>279</v>
      </c>
      <c r="R63" s="35"/>
      <c r="S63" s="41">
        <f>R63*P63</f>
        <v>0</v>
      </c>
    </row>
    <row r="64" spans="1:19" x14ac:dyDescent="0.4">
      <c r="A64" s="112" t="s">
        <v>392</v>
      </c>
      <c r="B64" s="35" t="s">
        <v>555</v>
      </c>
      <c r="C64" s="35" t="s">
        <v>380</v>
      </c>
      <c r="D64" s="35" t="s">
        <v>381</v>
      </c>
      <c r="E64" s="63" t="s">
        <v>380</v>
      </c>
      <c r="F64" s="35" t="s">
        <v>382</v>
      </c>
      <c r="G64" s="35" t="s">
        <v>380</v>
      </c>
      <c r="H64" s="35" t="s">
        <v>383</v>
      </c>
      <c r="I64" s="41" t="s">
        <v>384</v>
      </c>
      <c r="K64" s="112" t="s">
        <v>392</v>
      </c>
      <c r="L64" s="35" t="s">
        <v>555</v>
      </c>
      <c r="M64" s="35" t="s">
        <v>380</v>
      </c>
      <c r="N64" s="35" t="s">
        <v>381</v>
      </c>
      <c r="O64" s="63" t="s">
        <v>380</v>
      </c>
      <c r="P64" s="35" t="s">
        <v>382</v>
      </c>
      <c r="Q64" s="35" t="s">
        <v>380</v>
      </c>
      <c r="R64" s="35" t="s">
        <v>383</v>
      </c>
      <c r="S64" s="41" t="s">
        <v>384</v>
      </c>
    </row>
    <row r="65" spans="1:19" x14ac:dyDescent="0.4">
      <c r="A65" s="9" t="s">
        <v>502</v>
      </c>
      <c r="B65" s="35"/>
      <c r="C65" s="35"/>
      <c r="D65" s="35"/>
      <c r="E65" s="35"/>
      <c r="F65" s="35"/>
      <c r="G65" s="35"/>
      <c r="H65" s="35"/>
      <c r="I65" s="41"/>
      <c r="K65" s="9" t="s">
        <v>502</v>
      </c>
      <c r="L65" s="35"/>
      <c r="M65" s="35"/>
      <c r="N65" s="35"/>
      <c r="O65" s="35"/>
      <c r="P65" s="35"/>
      <c r="Q65" s="35"/>
      <c r="R65" s="35"/>
      <c r="S65" s="41"/>
    </row>
    <row r="66" spans="1:19" x14ac:dyDescent="0.4">
      <c r="A66" s="9" t="s">
        <v>160</v>
      </c>
      <c r="B66" s="35"/>
      <c r="C66" s="35"/>
      <c r="D66" s="35"/>
      <c r="E66" s="35"/>
      <c r="F66" s="35"/>
      <c r="G66" s="35"/>
      <c r="H66" s="35"/>
      <c r="I66" s="41"/>
      <c r="K66" s="9" t="s">
        <v>160</v>
      </c>
      <c r="L66" s="35"/>
      <c r="M66" s="35"/>
      <c r="N66" s="35"/>
      <c r="O66" s="35"/>
      <c r="P66" s="35"/>
      <c r="Q66" s="35"/>
      <c r="R66" s="35"/>
      <c r="S66" s="41"/>
    </row>
    <row r="67" spans="1:19" x14ac:dyDescent="0.4">
      <c r="A67" s="112" t="s">
        <v>395</v>
      </c>
      <c r="B67" s="145">
        <v>0.89</v>
      </c>
      <c r="C67" s="35"/>
      <c r="D67" s="35"/>
      <c r="E67" s="35"/>
      <c r="F67" s="35"/>
      <c r="G67" s="35"/>
      <c r="H67" s="35"/>
      <c r="I67" s="41"/>
      <c r="K67" s="112" t="s">
        <v>395</v>
      </c>
      <c r="L67" s="145">
        <v>0.89</v>
      </c>
      <c r="M67" s="35"/>
      <c r="N67" s="35"/>
      <c r="O67" s="35"/>
      <c r="P67" s="35"/>
      <c r="Q67" s="35"/>
      <c r="R67" s="35"/>
      <c r="S67" s="41"/>
    </row>
    <row r="68" spans="1:19" x14ac:dyDescent="0.4">
      <c r="A68" s="112" t="s">
        <v>396</v>
      </c>
      <c r="B68" s="35" t="s">
        <v>555</v>
      </c>
      <c r="C68" s="35" t="s">
        <v>380</v>
      </c>
      <c r="D68" s="35" t="s">
        <v>381</v>
      </c>
      <c r="E68" s="63" t="s">
        <v>380</v>
      </c>
      <c r="F68" s="35" t="s">
        <v>382</v>
      </c>
      <c r="G68" s="35" t="s">
        <v>380</v>
      </c>
      <c r="H68" s="35" t="s">
        <v>383</v>
      </c>
      <c r="I68" s="41" t="s">
        <v>384</v>
      </c>
      <c r="K68" s="112" t="s">
        <v>396</v>
      </c>
      <c r="L68" s="35" t="s">
        <v>555</v>
      </c>
      <c r="M68" s="35" t="s">
        <v>380</v>
      </c>
      <c r="N68" s="35" t="s">
        <v>381</v>
      </c>
      <c r="O68" s="63" t="s">
        <v>380</v>
      </c>
      <c r="P68" s="35" t="s">
        <v>382</v>
      </c>
      <c r="Q68" s="35" t="s">
        <v>380</v>
      </c>
      <c r="R68" s="35" t="s">
        <v>383</v>
      </c>
      <c r="S68" s="41" t="s">
        <v>384</v>
      </c>
    </row>
    <row r="69" spans="1:19" x14ac:dyDescent="0.4">
      <c r="A69" s="24" t="s">
        <v>576</v>
      </c>
      <c r="B69" s="42">
        <v>242.12</v>
      </c>
      <c r="C69" s="42" t="s">
        <v>386</v>
      </c>
      <c r="D69" s="42">
        <v>1</v>
      </c>
      <c r="E69" s="42" t="s">
        <v>387</v>
      </c>
      <c r="F69" s="42">
        <f>D69*B69/1000</f>
        <v>0.24212</v>
      </c>
      <c r="G69" s="42" t="s">
        <v>279</v>
      </c>
      <c r="H69" s="42">
        <f>I69/F69/B67</f>
        <v>0</v>
      </c>
      <c r="I69" s="45">
        <f>SUM(I61,I62,I63,I65,I66)</f>
        <v>0</v>
      </c>
      <c r="K69" s="24" t="s">
        <v>576</v>
      </c>
      <c r="L69" s="42">
        <v>174.12</v>
      </c>
      <c r="M69" s="42" t="s">
        <v>386</v>
      </c>
      <c r="N69" s="42">
        <v>1</v>
      </c>
      <c r="O69" s="42" t="s">
        <v>387</v>
      </c>
      <c r="P69" s="42">
        <f>N69*L69/1000</f>
        <v>0.17412</v>
      </c>
      <c r="Q69" s="42" t="s">
        <v>279</v>
      </c>
      <c r="R69" s="42">
        <f>S69/P69/L67</f>
        <v>0</v>
      </c>
      <c r="S69" s="45">
        <f>SUM(S61,S62,S63,S65,S66)</f>
        <v>0</v>
      </c>
    </row>
    <row r="71" spans="1:19" x14ac:dyDescent="0.4">
      <c r="A71" t="s">
        <v>411</v>
      </c>
      <c r="K71" t="s">
        <v>411</v>
      </c>
    </row>
    <row r="73" spans="1:19" x14ac:dyDescent="0.4">
      <c r="A73" s="31" t="s">
        <v>378</v>
      </c>
      <c r="B73" s="108" t="s">
        <v>555</v>
      </c>
      <c r="C73" s="108" t="s">
        <v>380</v>
      </c>
      <c r="D73" s="108" t="s">
        <v>381</v>
      </c>
      <c r="E73" s="94" t="s">
        <v>380</v>
      </c>
      <c r="F73" s="108" t="s">
        <v>382</v>
      </c>
      <c r="G73" s="108" t="s">
        <v>380</v>
      </c>
      <c r="H73" s="108" t="s">
        <v>383</v>
      </c>
      <c r="I73" s="6" t="s">
        <v>384</v>
      </c>
      <c r="K73" s="31" t="s">
        <v>378</v>
      </c>
      <c r="L73" s="108" t="s">
        <v>555</v>
      </c>
      <c r="M73" s="108" t="s">
        <v>380</v>
      </c>
      <c r="N73" s="108" t="s">
        <v>381</v>
      </c>
      <c r="O73" s="94" t="s">
        <v>380</v>
      </c>
      <c r="P73" s="108" t="s">
        <v>382</v>
      </c>
      <c r="Q73" s="108" t="s">
        <v>380</v>
      </c>
      <c r="R73" s="108" t="s">
        <v>383</v>
      </c>
      <c r="S73" s="6" t="s">
        <v>384</v>
      </c>
    </row>
    <row r="74" spans="1:19" x14ac:dyDescent="0.4">
      <c r="A74" s="9" t="s">
        <v>576</v>
      </c>
      <c r="B74" s="35">
        <v>242.12</v>
      </c>
      <c r="C74" s="35" t="s">
        <v>386</v>
      </c>
      <c r="D74" s="35">
        <v>1</v>
      </c>
      <c r="E74" s="35" t="s">
        <v>387</v>
      </c>
      <c r="F74" s="35">
        <f>D74*B74/1000</f>
        <v>0.24212</v>
      </c>
      <c r="G74" s="35" t="s">
        <v>279</v>
      </c>
      <c r="H74" s="35">
        <f>H69</f>
        <v>0</v>
      </c>
      <c r="I74" s="41">
        <f>H74*F74</f>
        <v>0</v>
      </c>
      <c r="K74" s="9" t="s">
        <v>576</v>
      </c>
      <c r="L74" s="35">
        <v>174.12</v>
      </c>
      <c r="M74" s="35" t="s">
        <v>386</v>
      </c>
      <c r="N74" s="35">
        <v>1</v>
      </c>
      <c r="O74" s="35" t="s">
        <v>387</v>
      </c>
      <c r="P74" s="35">
        <f>N74*L74/1000</f>
        <v>0.17412</v>
      </c>
      <c r="Q74" s="35" t="s">
        <v>279</v>
      </c>
      <c r="R74" s="35">
        <f>R69</f>
        <v>0</v>
      </c>
      <c r="S74" s="41">
        <f>R74*P74</f>
        <v>0</v>
      </c>
    </row>
    <row r="75" spans="1:19" x14ac:dyDescent="0.4">
      <c r="A75" s="86" t="s">
        <v>577</v>
      </c>
      <c r="B75" s="35">
        <v>37.83</v>
      </c>
      <c r="C75" s="35" t="s">
        <v>386</v>
      </c>
      <c r="D75" s="35">
        <v>5.3</v>
      </c>
      <c r="E75" s="35" t="s">
        <v>387</v>
      </c>
      <c r="F75" s="35">
        <f>D75*B75/1000</f>
        <v>0.20049899999999998</v>
      </c>
      <c r="G75" s="35" t="s">
        <v>279</v>
      </c>
      <c r="H75" s="35">
        <f>'A. Databases'!$H$98</f>
        <v>0</v>
      </c>
      <c r="I75" s="41">
        <f>H75*F75</f>
        <v>0</v>
      </c>
      <c r="K75" s="86" t="s">
        <v>577</v>
      </c>
      <c r="L75" s="35">
        <v>37.83</v>
      </c>
      <c r="M75" s="35" t="s">
        <v>386</v>
      </c>
      <c r="N75" s="35">
        <v>2.5</v>
      </c>
      <c r="O75" s="35" t="s">
        <v>387</v>
      </c>
      <c r="P75" s="35">
        <f>N75*L75/1000</f>
        <v>9.4574999999999992E-2</v>
      </c>
      <c r="Q75" s="35" t="s">
        <v>279</v>
      </c>
      <c r="R75" s="35">
        <f>'A. Databases'!$H$98</f>
        <v>0</v>
      </c>
      <c r="S75" s="41">
        <f>R75*P75</f>
        <v>0</v>
      </c>
    </row>
    <row r="76" spans="1:19" x14ac:dyDescent="0.4">
      <c r="A76" s="86"/>
      <c r="B76" s="35"/>
      <c r="C76" s="35"/>
      <c r="D76" s="35"/>
      <c r="E76" s="35"/>
      <c r="F76" s="35"/>
      <c r="G76" s="35"/>
      <c r="H76" s="35"/>
      <c r="I76" s="41"/>
      <c r="K76" s="86"/>
      <c r="L76" s="35"/>
      <c r="M76" s="35"/>
      <c r="N76" s="35"/>
      <c r="O76" s="35"/>
      <c r="P76" s="35"/>
      <c r="Q76" s="35"/>
      <c r="R76" s="35"/>
      <c r="S76" s="41"/>
    </row>
    <row r="77" spans="1:19" x14ac:dyDescent="0.4">
      <c r="A77" s="112" t="s">
        <v>392</v>
      </c>
      <c r="B77" s="35" t="s">
        <v>555</v>
      </c>
      <c r="C77" s="35" t="s">
        <v>380</v>
      </c>
      <c r="D77" s="35" t="s">
        <v>381</v>
      </c>
      <c r="E77" s="63" t="s">
        <v>380</v>
      </c>
      <c r="F77" s="35" t="s">
        <v>382</v>
      </c>
      <c r="G77" s="35" t="s">
        <v>380</v>
      </c>
      <c r="H77" s="35" t="s">
        <v>383</v>
      </c>
      <c r="I77" s="41" t="s">
        <v>384</v>
      </c>
      <c r="K77" s="112" t="s">
        <v>392</v>
      </c>
      <c r="L77" s="35" t="s">
        <v>555</v>
      </c>
      <c r="M77" s="35" t="s">
        <v>380</v>
      </c>
      <c r="N77" s="35" t="s">
        <v>381</v>
      </c>
      <c r="O77" s="63" t="s">
        <v>380</v>
      </c>
      <c r="P77" s="35" t="s">
        <v>382</v>
      </c>
      <c r="Q77" s="35" t="s">
        <v>380</v>
      </c>
      <c r="R77" s="35" t="s">
        <v>383</v>
      </c>
      <c r="S77" s="41" t="s">
        <v>384</v>
      </c>
    </row>
    <row r="78" spans="1:19" x14ac:dyDescent="0.4">
      <c r="A78" s="9" t="s">
        <v>394</v>
      </c>
      <c r="B78" s="35">
        <v>32.04</v>
      </c>
      <c r="C78" s="63" t="s">
        <v>386</v>
      </c>
      <c r="D78" s="35">
        <v>0.2</v>
      </c>
      <c r="E78" s="63" t="s">
        <v>387</v>
      </c>
      <c r="F78" s="35">
        <f>D78*B78/1000</f>
        <v>6.4080000000000005E-3</v>
      </c>
      <c r="G78" s="63" t="s">
        <v>279</v>
      </c>
      <c r="H78" s="35">
        <f>'A. Databases'!$H$8</f>
        <v>0</v>
      </c>
      <c r="I78" s="41">
        <f>H78*F78</f>
        <v>0</v>
      </c>
      <c r="K78" s="9" t="s">
        <v>394</v>
      </c>
      <c r="L78" s="35">
        <v>32.04</v>
      </c>
      <c r="M78" s="63" t="s">
        <v>386</v>
      </c>
      <c r="N78" s="35">
        <v>0.2</v>
      </c>
      <c r="O78" s="63" t="s">
        <v>387</v>
      </c>
      <c r="P78" s="35">
        <f>N78*L78/1000</f>
        <v>6.4080000000000005E-3</v>
      </c>
      <c r="Q78" s="63" t="s">
        <v>279</v>
      </c>
      <c r="R78" s="35">
        <f>'A. Databases'!$H$8</f>
        <v>0</v>
      </c>
      <c r="S78" s="41">
        <f>R78*P78</f>
        <v>0</v>
      </c>
    </row>
    <row r="79" spans="1:19" x14ac:dyDescent="0.4">
      <c r="A79" s="9" t="s">
        <v>160</v>
      </c>
      <c r="B79" s="35"/>
      <c r="C79" s="35"/>
      <c r="D79" s="35"/>
      <c r="E79" s="35"/>
      <c r="F79" s="35"/>
      <c r="G79" s="35"/>
      <c r="H79" s="35"/>
      <c r="I79" s="41"/>
      <c r="K79" s="9" t="s">
        <v>160</v>
      </c>
      <c r="L79" s="35"/>
      <c r="M79" s="35"/>
      <c r="N79" s="35"/>
      <c r="O79" s="35"/>
      <c r="P79" s="35"/>
      <c r="Q79" s="35"/>
      <c r="R79" s="35"/>
      <c r="S79" s="41"/>
    </row>
    <row r="80" spans="1:19" x14ac:dyDescent="0.4">
      <c r="A80" s="112" t="s">
        <v>395</v>
      </c>
      <c r="B80" s="145">
        <v>0.96</v>
      </c>
      <c r="C80" s="35"/>
      <c r="D80" s="35"/>
      <c r="E80" s="35"/>
      <c r="F80" s="35"/>
      <c r="G80" s="35"/>
      <c r="H80" s="35"/>
      <c r="I80" s="41"/>
      <c r="K80" s="112" t="s">
        <v>395</v>
      </c>
      <c r="L80" s="145">
        <v>0.96</v>
      </c>
      <c r="M80" s="35"/>
      <c r="N80" s="35"/>
      <c r="O80" s="35"/>
      <c r="P80" s="35"/>
      <c r="Q80" s="35"/>
      <c r="R80" s="35"/>
      <c r="S80" s="41"/>
    </row>
    <row r="81" spans="1:19" x14ac:dyDescent="0.4">
      <c r="A81" s="112" t="s">
        <v>396</v>
      </c>
      <c r="B81" s="35" t="s">
        <v>555</v>
      </c>
      <c r="C81" s="35" t="s">
        <v>380</v>
      </c>
      <c r="D81" s="35" t="s">
        <v>381</v>
      </c>
      <c r="E81" s="63" t="s">
        <v>380</v>
      </c>
      <c r="F81" s="35" t="s">
        <v>382</v>
      </c>
      <c r="G81" s="35" t="s">
        <v>380</v>
      </c>
      <c r="H81" s="35" t="s">
        <v>383</v>
      </c>
      <c r="I81" s="41" t="s">
        <v>384</v>
      </c>
      <c r="K81" s="112" t="s">
        <v>396</v>
      </c>
      <c r="L81" s="35" t="s">
        <v>555</v>
      </c>
      <c r="M81" s="35" t="s">
        <v>380</v>
      </c>
      <c r="N81" s="35" t="s">
        <v>381</v>
      </c>
      <c r="O81" s="63" t="s">
        <v>380</v>
      </c>
      <c r="P81" s="35" t="s">
        <v>382</v>
      </c>
      <c r="Q81" s="35" t="s">
        <v>380</v>
      </c>
      <c r="R81" s="35" t="s">
        <v>383</v>
      </c>
      <c r="S81" s="41" t="s">
        <v>384</v>
      </c>
    </row>
    <row r="82" spans="1:19" x14ac:dyDescent="0.4">
      <c r="A82" s="24" t="s">
        <v>578</v>
      </c>
      <c r="B82" s="42">
        <v>244.14</v>
      </c>
      <c r="C82" s="42" t="s">
        <v>386</v>
      </c>
      <c r="D82" s="42">
        <v>1</v>
      </c>
      <c r="E82" s="42" t="s">
        <v>387</v>
      </c>
      <c r="F82" s="42">
        <f>D82*B82/1000</f>
        <v>0.24414</v>
      </c>
      <c r="G82" s="42" t="s">
        <v>279</v>
      </c>
      <c r="H82" s="42">
        <f>I82/F82/B80</f>
        <v>0</v>
      </c>
      <c r="I82" s="45">
        <f>SUM(I74,I75,I78)</f>
        <v>0</v>
      </c>
      <c r="K82" s="24" t="s">
        <v>578</v>
      </c>
      <c r="L82" s="42">
        <v>176.14</v>
      </c>
      <c r="M82" s="42" t="s">
        <v>386</v>
      </c>
      <c r="N82" s="42">
        <v>1</v>
      </c>
      <c r="O82" s="42" t="s">
        <v>387</v>
      </c>
      <c r="P82" s="42">
        <f>N82*L82/1000</f>
        <v>0.17613999999999999</v>
      </c>
      <c r="Q82" s="42" t="s">
        <v>279</v>
      </c>
      <c r="R82" s="42">
        <f>S82/P82/L80</f>
        <v>0</v>
      </c>
      <c r="S82" s="45">
        <f>SUM(S74,S75,S78)</f>
        <v>0</v>
      </c>
    </row>
    <row r="84" spans="1:19" x14ac:dyDescent="0.4">
      <c r="A84" t="s">
        <v>415</v>
      </c>
      <c r="K84" t="s">
        <v>415</v>
      </c>
    </row>
    <row r="86" spans="1:19" x14ac:dyDescent="0.4">
      <c r="A86" s="31" t="s">
        <v>378</v>
      </c>
      <c r="B86" s="108" t="s">
        <v>555</v>
      </c>
      <c r="C86" s="108" t="s">
        <v>380</v>
      </c>
      <c r="D86" s="108" t="s">
        <v>381</v>
      </c>
      <c r="E86" s="94" t="s">
        <v>380</v>
      </c>
      <c r="F86" s="108" t="s">
        <v>382</v>
      </c>
      <c r="G86" s="108" t="s">
        <v>380</v>
      </c>
      <c r="H86" s="108" t="s">
        <v>383</v>
      </c>
      <c r="I86" s="6" t="s">
        <v>384</v>
      </c>
      <c r="K86" s="31" t="s">
        <v>378</v>
      </c>
      <c r="L86" s="108" t="s">
        <v>555</v>
      </c>
      <c r="M86" s="108" t="s">
        <v>380</v>
      </c>
      <c r="N86" s="108" t="s">
        <v>381</v>
      </c>
      <c r="O86" s="94" t="s">
        <v>380</v>
      </c>
      <c r="P86" s="108" t="s">
        <v>382</v>
      </c>
      <c r="Q86" s="108" t="s">
        <v>380</v>
      </c>
      <c r="R86" s="108" t="s">
        <v>383</v>
      </c>
      <c r="S86" s="6" t="s">
        <v>384</v>
      </c>
    </row>
    <row r="87" spans="1:19" x14ac:dyDescent="0.4">
      <c r="A87" s="9" t="s">
        <v>578</v>
      </c>
      <c r="B87" s="35">
        <v>244.14</v>
      </c>
      <c r="C87" s="35" t="s">
        <v>386</v>
      </c>
      <c r="D87" s="35">
        <v>1</v>
      </c>
      <c r="E87" s="35" t="s">
        <v>387</v>
      </c>
      <c r="F87" s="35">
        <v>0.24414</v>
      </c>
      <c r="G87" s="35" t="s">
        <v>279</v>
      </c>
      <c r="H87" s="35">
        <f>H82</f>
        <v>0</v>
      </c>
      <c r="I87" s="41">
        <f>H87*F87</f>
        <v>0</v>
      </c>
      <c r="K87" s="9" t="s">
        <v>578</v>
      </c>
      <c r="L87" s="35">
        <v>176.14</v>
      </c>
      <c r="M87" s="35" t="s">
        <v>386</v>
      </c>
      <c r="N87" s="35">
        <v>1</v>
      </c>
      <c r="O87" s="35" t="s">
        <v>387</v>
      </c>
      <c r="P87" s="35">
        <v>0.24414</v>
      </c>
      <c r="Q87" s="35" t="s">
        <v>279</v>
      </c>
      <c r="R87" s="35">
        <f>R82</f>
        <v>0</v>
      </c>
      <c r="S87" s="41">
        <f>R87*P87</f>
        <v>0</v>
      </c>
    </row>
    <row r="88" spans="1:19" x14ac:dyDescent="0.4">
      <c r="A88" s="86" t="s">
        <v>97</v>
      </c>
      <c r="B88" s="35">
        <v>98.078999999999994</v>
      </c>
      <c r="C88" s="35" t="s">
        <v>386</v>
      </c>
      <c r="D88" s="35">
        <v>1.17</v>
      </c>
      <c r="E88" s="35" t="s">
        <v>387</v>
      </c>
      <c r="F88" s="35">
        <f>D88*B88/1000</f>
        <v>0.11475242999999999</v>
      </c>
      <c r="G88" s="35" t="s">
        <v>279</v>
      </c>
      <c r="H88" s="35">
        <f>'A. Databases'!$H$16</f>
        <v>0</v>
      </c>
      <c r="I88" s="41">
        <f>H88*F88</f>
        <v>0</v>
      </c>
      <c r="K88" s="86" t="s">
        <v>97</v>
      </c>
      <c r="L88" s="35">
        <v>98.078999999999994</v>
      </c>
      <c r="M88" s="35" t="s">
        <v>386</v>
      </c>
      <c r="N88" s="35">
        <v>1.17</v>
      </c>
      <c r="O88" s="35" t="s">
        <v>387</v>
      </c>
      <c r="P88" s="35">
        <f>N88*L88/1000</f>
        <v>0.11475242999999999</v>
      </c>
      <c r="Q88" s="35" t="s">
        <v>279</v>
      </c>
      <c r="R88" s="35">
        <f>'A. Databases'!$H$16</f>
        <v>0</v>
      </c>
      <c r="S88" s="41">
        <f>R88*P88</f>
        <v>0</v>
      </c>
    </row>
    <row r="89" spans="1:19" x14ac:dyDescent="0.4">
      <c r="A89" s="86" t="s">
        <v>579</v>
      </c>
      <c r="B89" s="35">
        <v>80.91</v>
      </c>
      <c r="C89" s="35" t="s">
        <v>386</v>
      </c>
      <c r="D89" s="35">
        <v>3.3</v>
      </c>
      <c r="E89" s="35" t="s">
        <v>387</v>
      </c>
      <c r="F89" s="35">
        <f>D89*B89/1000</f>
        <v>0.26700299999999999</v>
      </c>
      <c r="G89" s="63" t="s">
        <v>279</v>
      </c>
      <c r="H89" s="35">
        <f>'A. Databases'!$H$27</f>
        <v>0</v>
      </c>
      <c r="I89" s="41">
        <f>H89*F89</f>
        <v>0</v>
      </c>
      <c r="K89" s="86" t="s">
        <v>579</v>
      </c>
      <c r="L89" s="35">
        <v>80.91</v>
      </c>
      <c r="M89" s="35" t="s">
        <v>386</v>
      </c>
      <c r="N89" s="35">
        <v>1.6</v>
      </c>
      <c r="O89" s="35" t="s">
        <v>387</v>
      </c>
      <c r="P89" s="35">
        <f>N89*L89/1000</f>
        <v>0.12945599999999999</v>
      </c>
      <c r="Q89" s="63" t="s">
        <v>279</v>
      </c>
      <c r="R89" s="35">
        <f>'A. Databases'!$H$27</f>
        <v>0</v>
      </c>
      <c r="S89" s="41">
        <f>R89*P89</f>
        <v>0</v>
      </c>
    </row>
    <row r="90" spans="1:19" x14ac:dyDescent="0.4">
      <c r="A90" s="112" t="s">
        <v>392</v>
      </c>
      <c r="B90" s="35" t="s">
        <v>555</v>
      </c>
      <c r="C90" s="35" t="s">
        <v>380</v>
      </c>
      <c r="D90" s="35" t="s">
        <v>381</v>
      </c>
      <c r="E90" s="63" t="s">
        <v>380</v>
      </c>
      <c r="F90" s="35" t="s">
        <v>382</v>
      </c>
      <c r="G90" s="35" t="s">
        <v>380</v>
      </c>
      <c r="H90" s="35" t="s">
        <v>383</v>
      </c>
      <c r="I90" s="41" t="s">
        <v>384</v>
      </c>
      <c r="K90" s="112" t="s">
        <v>392</v>
      </c>
      <c r="L90" s="35" t="s">
        <v>555</v>
      </c>
      <c r="M90" s="35" t="s">
        <v>380</v>
      </c>
      <c r="N90" s="35" t="s">
        <v>381</v>
      </c>
      <c r="O90" s="63" t="s">
        <v>380</v>
      </c>
      <c r="P90" s="35" t="s">
        <v>382</v>
      </c>
      <c r="Q90" s="35" t="s">
        <v>380</v>
      </c>
      <c r="R90" s="35" t="s">
        <v>383</v>
      </c>
      <c r="S90" s="41" t="s">
        <v>384</v>
      </c>
    </row>
    <row r="91" spans="1:19" x14ac:dyDescent="0.4">
      <c r="A91" s="9" t="s">
        <v>434</v>
      </c>
      <c r="B91" s="35" t="s">
        <v>160</v>
      </c>
      <c r="C91" s="63" t="s">
        <v>386</v>
      </c>
      <c r="D91" s="63" t="s">
        <v>160</v>
      </c>
      <c r="E91" s="63" t="s">
        <v>160</v>
      </c>
      <c r="F91" s="35"/>
      <c r="G91" s="63"/>
      <c r="H91" s="35">
        <v>0</v>
      </c>
      <c r="I91" s="41"/>
      <c r="K91" s="9" t="s">
        <v>434</v>
      </c>
      <c r="L91" s="35" t="s">
        <v>160</v>
      </c>
      <c r="M91" s="63" t="s">
        <v>386</v>
      </c>
      <c r="N91" s="63" t="s">
        <v>160</v>
      </c>
      <c r="O91" s="63" t="s">
        <v>160</v>
      </c>
      <c r="P91" s="35"/>
      <c r="Q91" s="63"/>
      <c r="R91" s="35">
        <v>0</v>
      </c>
      <c r="S91" s="41"/>
    </row>
    <row r="92" spans="1:19" x14ac:dyDescent="0.4">
      <c r="A92" s="9"/>
      <c r="B92" s="35"/>
      <c r="C92" s="35"/>
      <c r="D92" s="35"/>
      <c r="E92" s="35"/>
      <c r="F92" s="35"/>
      <c r="G92" s="35"/>
      <c r="H92" s="35"/>
      <c r="I92" s="41"/>
      <c r="K92" s="9"/>
      <c r="L92" s="35"/>
      <c r="M92" s="35"/>
      <c r="N92" s="35"/>
      <c r="O92" s="35"/>
      <c r="P92" s="35"/>
      <c r="Q92" s="35"/>
      <c r="R92" s="35"/>
      <c r="S92" s="41"/>
    </row>
    <row r="93" spans="1:19" x14ac:dyDescent="0.4">
      <c r="A93" s="112" t="s">
        <v>395</v>
      </c>
      <c r="B93" s="145">
        <v>0.99</v>
      </c>
      <c r="C93" s="35"/>
      <c r="D93" s="35"/>
      <c r="E93" s="35"/>
      <c r="F93" s="35"/>
      <c r="G93" s="35"/>
      <c r="H93" s="35"/>
      <c r="I93" s="41"/>
      <c r="K93" s="112" t="s">
        <v>395</v>
      </c>
      <c r="L93" s="145">
        <v>0.99</v>
      </c>
      <c r="M93" s="35"/>
      <c r="N93" s="35"/>
      <c r="O93" s="35"/>
      <c r="P93" s="35"/>
      <c r="Q93" s="35"/>
      <c r="R93" s="35"/>
      <c r="S93" s="41"/>
    </row>
    <row r="94" spans="1:19" x14ac:dyDescent="0.4">
      <c r="A94" s="112" t="s">
        <v>396</v>
      </c>
      <c r="B94" s="35" t="s">
        <v>555</v>
      </c>
      <c r="C94" s="35" t="s">
        <v>380</v>
      </c>
      <c r="D94" s="35" t="s">
        <v>381</v>
      </c>
      <c r="E94" s="63" t="s">
        <v>380</v>
      </c>
      <c r="F94" s="35" t="s">
        <v>382</v>
      </c>
      <c r="G94" s="35" t="s">
        <v>380</v>
      </c>
      <c r="H94" s="35" t="s">
        <v>383</v>
      </c>
      <c r="I94" s="41" t="s">
        <v>384</v>
      </c>
      <c r="K94" s="112" t="s">
        <v>396</v>
      </c>
      <c r="L94" s="35" t="s">
        <v>555</v>
      </c>
      <c r="M94" s="35" t="s">
        <v>380</v>
      </c>
      <c r="N94" s="35" t="s">
        <v>381</v>
      </c>
      <c r="O94" s="63" t="s">
        <v>380</v>
      </c>
      <c r="P94" s="35" t="s">
        <v>382</v>
      </c>
      <c r="Q94" s="35" t="s">
        <v>380</v>
      </c>
      <c r="R94" s="35" t="s">
        <v>383</v>
      </c>
      <c r="S94" s="41" t="s">
        <v>384</v>
      </c>
    </row>
    <row r="95" spans="1:19" x14ac:dyDescent="0.4">
      <c r="A95" s="24" t="s">
        <v>557</v>
      </c>
      <c r="B95" s="42">
        <v>307.02999999999997</v>
      </c>
      <c r="C95" s="42" t="s">
        <v>386</v>
      </c>
      <c r="D95" s="42">
        <v>1</v>
      </c>
      <c r="E95" s="42" t="s">
        <v>387</v>
      </c>
      <c r="F95" s="42">
        <f>D95*B95/1000</f>
        <v>0.30702999999999997</v>
      </c>
      <c r="G95" s="42" t="s">
        <v>279</v>
      </c>
      <c r="H95" s="42">
        <f>I95/F95</f>
        <v>0</v>
      </c>
      <c r="I95" s="45">
        <f>SUM(I91,I89,I88,I87)</f>
        <v>0</v>
      </c>
      <c r="K95" s="24" t="s">
        <v>557</v>
      </c>
      <c r="L95" s="42">
        <v>239.04</v>
      </c>
      <c r="M95" s="42" t="s">
        <v>386</v>
      </c>
      <c r="N95" s="42">
        <v>1</v>
      </c>
      <c r="O95" s="42" t="s">
        <v>387</v>
      </c>
      <c r="P95" s="42">
        <f>N95*L95/1000</f>
        <v>0.23904</v>
      </c>
      <c r="Q95" s="42" t="s">
        <v>279</v>
      </c>
      <c r="R95" s="42">
        <f>S95/P95</f>
        <v>0</v>
      </c>
      <c r="S95" s="45">
        <f>SUM(S91,S89,S88,S87)</f>
        <v>0</v>
      </c>
    </row>
  </sheetData>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topLeftCell="A10" zoomScale="135" zoomScaleNormal="135" workbookViewId="0">
      <selection activeCell="A10" sqref="A10"/>
    </sheetView>
  </sheetViews>
  <sheetFormatPr defaultColWidth="8.69140625" defaultRowHeight="14.6" x14ac:dyDescent="0.4"/>
  <cols>
    <col min="1" max="1" width="20.23046875" customWidth="1"/>
    <col min="2" max="2" width="29.15234375" customWidth="1"/>
    <col min="3" max="3" width="34" customWidth="1"/>
    <col min="4" max="5" width="42.69140625" customWidth="1"/>
    <col min="6" max="6" width="48" customWidth="1"/>
    <col min="7" max="7" width="28.53515625" customWidth="1"/>
    <col min="8" max="8" width="37.15234375" customWidth="1"/>
    <col min="9" max="9" width="28.53515625" customWidth="1"/>
    <col min="10" max="11" width="19" customWidth="1"/>
    <col min="12" max="13" width="24.15234375" customWidth="1"/>
    <col min="14" max="14" width="39.23046875" customWidth="1"/>
  </cols>
  <sheetData>
    <row r="1" spans="1:8" x14ac:dyDescent="0.4">
      <c r="A1" s="146" t="s">
        <v>580</v>
      </c>
      <c r="B1" s="144" t="s">
        <v>581</v>
      </c>
      <c r="C1" s="144" t="s">
        <v>380</v>
      </c>
      <c r="D1" s="35"/>
    </row>
    <row r="2" spans="1:8" x14ac:dyDescent="0.4">
      <c r="A2" s="147" t="s">
        <v>444</v>
      </c>
      <c r="B2" s="35">
        <v>512.4</v>
      </c>
      <c r="C2" s="35" t="s">
        <v>582</v>
      </c>
      <c r="D2" s="35"/>
    </row>
    <row r="3" spans="1:8" x14ac:dyDescent="0.4">
      <c r="A3" s="146" t="s">
        <v>583</v>
      </c>
      <c r="B3" s="145">
        <f>B5/B6</f>
        <v>0.20768930523028886</v>
      </c>
      <c r="C3" s="35"/>
    </row>
    <row r="4" spans="1:8" x14ac:dyDescent="0.4">
      <c r="A4" s="147"/>
      <c r="B4" s="144" t="s">
        <v>581</v>
      </c>
      <c r="C4" s="35" t="s">
        <v>380</v>
      </c>
      <c r="D4" s="35"/>
    </row>
    <row r="5" spans="1:8" x14ac:dyDescent="0.4">
      <c r="A5" s="147" t="s">
        <v>584</v>
      </c>
      <c r="B5" s="35">
        <v>106.42</v>
      </c>
      <c r="C5" s="35" t="s">
        <v>582</v>
      </c>
      <c r="D5" s="35"/>
    </row>
    <row r="6" spans="1:8" x14ac:dyDescent="0.4">
      <c r="A6" s="147" t="s">
        <v>444</v>
      </c>
      <c r="B6" s="35">
        <v>512.4</v>
      </c>
      <c r="C6" s="35" t="s">
        <v>582</v>
      </c>
      <c r="D6" s="35"/>
    </row>
    <row r="9" spans="1:8" x14ac:dyDescent="0.4">
      <c r="A9" s="31" t="s">
        <v>585</v>
      </c>
      <c r="B9" s="108"/>
      <c r="C9" s="108"/>
      <c r="D9" s="108"/>
      <c r="E9" s="108"/>
      <c r="F9" s="108"/>
      <c r="G9" s="108"/>
      <c r="H9" s="6"/>
    </row>
    <row r="10" spans="1:8" x14ac:dyDescent="0.4">
      <c r="A10" s="9"/>
      <c r="B10" s="35"/>
      <c r="C10" s="35"/>
      <c r="D10" s="35"/>
      <c r="E10" s="35"/>
      <c r="F10" s="35"/>
      <c r="G10" s="35"/>
      <c r="H10" s="41"/>
    </row>
    <row r="11" spans="1:8" x14ac:dyDescent="0.4">
      <c r="A11" s="9"/>
      <c r="B11" s="144" t="s">
        <v>581</v>
      </c>
      <c r="C11" s="144" t="s">
        <v>13</v>
      </c>
      <c r="D11" s="35" t="s">
        <v>586</v>
      </c>
      <c r="E11" s="35"/>
      <c r="F11" s="35"/>
      <c r="G11" s="35"/>
      <c r="H11" s="41"/>
    </row>
    <row r="12" spans="1:8" x14ac:dyDescent="0.4">
      <c r="A12" s="9" t="s">
        <v>587</v>
      </c>
      <c r="B12" s="35">
        <v>202.32</v>
      </c>
      <c r="C12" s="35" t="s">
        <v>582</v>
      </c>
      <c r="D12" s="148">
        <f>B12/B2</f>
        <v>0.39484777517564401</v>
      </c>
      <c r="E12" s="35"/>
      <c r="F12" s="35"/>
      <c r="G12" s="35"/>
      <c r="H12" s="41"/>
    </row>
    <row r="13" spans="1:8" x14ac:dyDescent="0.4">
      <c r="A13" s="9" t="s">
        <v>588</v>
      </c>
      <c r="B13" s="59">
        <v>169.227</v>
      </c>
      <c r="C13" s="35" t="s">
        <v>582</v>
      </c>
      <c r="D13" s="148">
        <f>B13/B2</f>
        <v>0.33026346604215456</v>
      </c>
      <c r="E13" s="35"/>
      <c r="F13" s="35"/>
      <c r="G13" s="35"/>
      <c r="H13" s="41"/>
    </row>
    <row r="14" spans="1:8" x14ac:dyDescent="0.4">
      <c r="A14" s="9"/>
      <c r="B14" s="35"/>
      <c r="C14" s="35"/>
      <c r="D14" s="35"/>
      <c r="E14" s="35"/>
      <c r="F14" s="35"/>
      <c r="G14" s="35"/>
      <c r="H14" s="41"/>
    </row>
    <row r="15" spans="1:8" x14ac:dyDescent="0.4">
      <c r="A15" s="9"/>
      <c r="B15" s="35"/>
      <c r="C15" s="35"/>
      <c r="D15" s="35"/>
      <c r="E15" s="35"/>
      <c r="F15" s="35"/>
      <c r="G15" s="35"/>
      <c r="H15" s="41"/>
    </row>
    <row r="16" spans="1:8" x14ac:dyDescent="0.4">
      <c r="A16" s="213" t="s">
        <v>587</v>
      </c>
      <c r="B16" s="213"/>
      <c r="C16" s="213"/>
      <c r="D16" s="35"/>
      <c r="E16" s="35"/>
      <c r="F16" s="35"/>
      <c r="G16" s="35"/>
      <c r="H16" s="41"/>
    </row>
    <row r="17" spans="1:8" x14ac:dyDescent="0.4">
      <c r="A17" s="9"/>
      <c r="B17" s="35"/>
      <c r="C17" s="35"/>
      <c r="D17" s="35"/>
      <c r="E17" s="35"/>
      <c r="F17" s="35"/>
      <c r="G17" s="35"/>
      <c r="H17" s="41"/>
    </row>
    <row r="18" spans="1:8" x14ac:dyDescent="0.4">
      <c r="A18" s="9" t="s">
        <v>589</v>
      </c>
      <c r="B18" s="144" t="s">
        <v>590</v>
      </c>
      <c r="C18" s="144" t="s">
        <v>581</v>
      </c>
      <c r="D18" s="144" t="s">
        <v>591</v>
      </c>
      <c r="E18" s="144" t="s">
        <v>592</v>
      </c>
      <c r="F18" s="144" t="s">
        <v>386</v>
      </c>
      <c r="G18" s="144" t="s">
        <v>591</v>
      </c>
      <c r="H18" s="149" t="s">
        <v>395</v>
      </c>
    </row>
    <row r="19" spans="1:8" x14ac:dyDescent="0.4">
      <c r="A19" s="9" t="s">
        <v>593</v>
      </c>
      <c r="B19" s="35" t="s">
        <v>594</v>
      </c>
      <c r="C19" s="35">
        <v>74.12</v>
      </c>
      <c r="D19" s="35">
        <f>'A. Databases'!H120</f>
        <v>0</v>
      </c>
      <c r="E19" s="35" t="s">
        <v>595</v>
      </c>
      <c r="F19" s="35">
        <v>92.57</v>
      </c>
      <c r="G19" s="35">
        <f>((C19*D19+C20*D20)/F19)/H19</f>
        <v>0</v>
      </c>
      <c r="H19" s="41">
        <v>0.88</v>
      </c>
    </row>
    <row r="20" spans="1:8" x14ac:dyDescent="0.4">
      <c r="A20" s="9" t="s">
        <v>593</v>
      </c>
      <c r="B20" s="35" t="s">
        <v>596</v>
      </c>
      <c r="C20" s="35">
        <v>36.46</v>
      </c>
      <c r="D20" s="35">
        <f>'A. Databases'!H79</f>
        <v>0</v>
      </c>
      <c r="E20" s="35"/>
      <c r="F20" s="35"/>
      <c r="G20" s="35"/>
      <c r="H20" s="41"/>
    </row>
    <row r="21" spans="1:8" x14ac:dyDescent="0.4">
      <c r="A21" s="9" t="s">
        <v>597</v>
      </c>
      <c r="B21" s="35" t="s">
        <v>595</v>
      </c>
      <c r="C21" s="35">
        <v>92.57</v>
      </c>
      <c r="D21" s="35">
        <f>G19</f>
        <v>0</v>
      </c>
      <c r="E21" s="35" t="s">
        <v>598</v>
      </c>
      <c r="F21" s="35">
        <v>116.87</v>
      </c>
      <c r="G21" s="35">
        <f>((C21*D21+C22*D22)/F21)/H21</f>
        <v>0</v>
      </c>
      <c r="H21" s="41">
        <v>1</v>
      </c>
    </row>
    <row r="22" spans="1:8" x14ac:dyDescent="0.4">
      <c r="A22" s="9"/>
      <c r="B22" s="35" t="s">
        <v>351</v>
      </c>
      <c r="C22" s="35">
        <v>24.31</v>
      </c>
      <c r="D22" s="35">
        <f>'A. Databases'!H121</f>
        <v>0</v>
      </c>
      <c r="E22" s="35"/>
      <c r="F22" s="35"/>
      <c r="G22" s="35"/>
      <c r="H22" s="41"/>
    </row>
    <row r="23" spans="1:8" x14ac:dyDescent="0.4">
      <c r="A23" s="9" t="s">
        <v>599</v>
      </c>
      <c r="B23" s="35" t="s">
        <v>598</v>
      </c>
      <c r="C23" s="35">
        <v>116.87</v>
      </c>
      <c r="D23" s="35">
        <f>G21</f>
        <v>0</v>
      </c>
      <c r="E23" s="35" t="s">
        <v>587</v>
      </c>
      <c r="F23" s="35">
        <v>202.32</v>
      </c>
      <c r="G23" s="35">
        <f>((C23*D23+C24*D24)/F23)/H23</f>
        <v>0</v>
      </c>
      <c r="H23" s="41">
        <v>0.88300000000000001</v>
      </c>
    </row>
    <row r="24" spans="1:8" x14ac:dyDescent="0.4">
      <c r="A24" s="9"/>
      <c r="B24" s="35" t="s">
        <v>600</v>
      </c>
      <c r="C24" s="63">
        <v>137.32</v>
      </c>
      <c r="D24" s="35">
        <f>'A. Databases'!H119</f>
        <v>0</v>
      </c>
      <c r="E24" s="35"/>
      <c r="F24" s="35"/>
      <c r="G24" s="35"/>
      <c r="H24" s="41"/>
    </row>
    <row r="25" spans="1:8" x14ac:dyDescent="0.4">
      <c r="A25" s="9"/>
      <c r="B25" s="35"/>
      <c r="C25" s="35"/>
      <c r="D25" s="35"/>
      <c r="E25" s="35"/>
      <c r="F25" s="35"/>
      <c r="G25" s="35"/>
      <c r="H25" s="41"/>
    </row>
    <row r="26" spans="1:8" x14ac:dyDescent="0.4">
      <c r="A26" s="214" t="s">
        <v>588</v>
      </c>
      <c r="B26" s="214"/>
      <c r="C26" s="214"/>
      <c r="D26" s="35"/>
      <c r="E26" s="35"/>
      <c r="F26" s="35"/>
      <c r="G26" s="35"/>
      <c r="H26" s="41"/>
    </row>
    <row r="27" spans="1:8" x14ac:dyDescent="0.4">
      <c r="A27" s="9" t="s">
        <v>589</v>
      </c>
      <c r="B27" s="144" t="s">
        <v>590</v>
      </c>
      <c r="C27" s="144" t="s">
        <v>581</v>
      </c>
      <c r="D27" s="144" t="s">
        <v>591</v>
      </c>
      <c r="E27" s="144" t="s">
        <v>396</v>
      </c>
      <c r="F27" s="144" t="s">
        <v>386</v>
      </c>
      <c r="G27" s="150" t="s">
        <v>591</v>
      </c>
      <c r="H27" s="149" t="s">
        <v>395</v>
      </c>
    </row>
    <row r="28" spans="1:8" x14ac:dyDescent="0.4">
      <c r="A28" s="9" t="s">
        <v>601</v>
      </c>
      <c r="B28" s="63" t="s">
        <v>602</v>
      </c>
      <c r="C28" s="35">
        <v>138.13</v>
      </c>
      <c r="D28" s="35">
        <f>'A. Databases'!H123</f>
        <v>0</v>
      </c>
      <c r="E28" s="35" t="s">
        <v>603</v>
      </c>
      <c r="F28" s="63">
        <v>199.21</v>
      </c>
      <c r="G28" s="35">
        <f>((C28*D28+C29*D29+C30*D30)/F28)/H28</f>
        <v>0</v>
      </c>
      <c r="H28" s="41">
        <v>0.57999999999999996</v>
      </c>
    </row>
    <row r="29" spans="1:8" x14ac:dyDescent="0.4">
      <c r="A29" s="9"/>
      <c r="B29" s="63" t="s">
        <v>604</v>
      </c>
      <c r="C29" s="35">
        <v>78.099999999999994</v>
      </c>
      <c r="D29" s="35">
        <f>'A. Databases'!H124</f>
        <v>0</v>
      </c>
      <c r="E29" s="35"/>
      <c r="F29" s="35"/>
      <c r="G29" s="35"/>
      <c r="H29" s="41"/>
    </row>
    <row r="30" spans="1:8" x14ac:dyDescent="0.4">
      <c r="A30" s="9"/>
      <c r="B30" s="63" t="s">
        <v>605</v>
      </c>
      <c r="C30" s="35">
        <v>68.9953</v>
      </c>
      <c r="D30" s="35">
        <f>'A. Databases'!H122</f>
        <v>0</v>
      </c>
      <c r="E30" s="35"/>
      <c r="F30" s="35"/>
      <c r="G30" s="35"/>
      <c r="H30" s="41"/>
    </row>
    <row r="31" spans="1:8" x14ac:dyDescent="0.4">
      <c r="A31" s="9" t="s">
        <v>606</v>
      </c>
      <c r="B31" s="35" t="s">
        <v>603</v>
      </c>
      <c r="C31" s="63">
        <v>199.21</v>
      </c>
      <c r="D31" s="35">
        <f>G28</f>
        <v>0</v>
      </c>
      <c r="E31" s="35" t="s">
        <v>588</v>
      </c>
      <c r="F31" s="35">
        <v>169.23</v>
      </c>
      <c r="G31" s="35">
        <f>(C31*D31+C32*D32)/F31</f>
        <v>0</v>
      </c>
      <c r="H31" s="41">
        <v>1</v>
      </c>
    </row>
    <row r="32" spans="1:8" x14ac:dyDescent="0.4">
      <c r="A32" s="24"/>
      <c r="B32" s="42" t="s">
        <v>607</v>
      </c>
      <c r="C32" s="42">
        <v>2</v>
      </c>
      <c r="D32" s="42">
        <f>'A. Databases'!H102</f>
        <v>0</v>
      </c>
      <c r="E32" s="42"/>
      <c r="F32" s="42"/>
      <c r="G32" s="42"/>
      <c r="H32" s="45"/>
    </row>
    <row r="37" spans="1:6" x14ac:dyDescent="0.4">
      <c r="A37" s="31" t="s">
        <v>608</v>
      </c>
      <c r="B37" s="108"/>
      <c r="C37" s="108"/>
      <c r="D37" s="108"/>
      <c r="E37" s="108"/>
      <c r="F37" s="6"/>
    </row>
    <row r="38" spans="1:6" x14ac:dyDescent="0.4">
      <c r="A38" s="112"/>
      <c r="B38" s="144" t="s">
        <v>380</v>
      </c>
      <c r="C38" s="144" t="s">
        <v>609</v>
      </c>
      <c r="D38" s="144" t="s">
        <v>610</v>
      </c>
      <c r="E38" s="144" t="s">
        <v>611</v>
      </c>
      <c r="F38" s="41"/>
    </row>
    <row r="39" spans="1:6" x14ac:dyDescent="0.4">
      <c r="A39" s="9" t="s">
        <v>584</v>
      </c>
      <c r="B39" s="35" t="s">
        <v>612</v>
      </c>
      <c r="C39" s="151">
        <f>B3</f>
        <v>0.20768930523028886</v>
      </c>
      <c r="D39" s="35">
        <f>'A. Databases'!H30</f>
        <v>0</v>
      </c>
      <c r="E39" s="35">
        <f>D39*C39</f>
        <v>0</v>
      </c>
      <c r="F39" s="41"/>
    </row>
    <row r="40" spans="1:6" x14ac:dyDescent="0.4">
      <c r="A40" s="9" t="s">
        <v>587</v>
      </c>
      <c r="B40" s="35" t="s">
        <v>612</v>
      </c>
      <c r="C40" s="152">
        <f>D12</f>
        <v>0.39484777517564401</v>
      </c>
      <c r="D40" s="63">
        <f>G23</f>
        <v>0</v>
      </c>
      <c r="E40" s="35">
        <f>D40*C40</f>
        <v>0</v>
      </c>
      <c r="F40" s="41"/>
    </row>
    <row r="41" spans="1:6" x14ac:dyDescent="0.4">
      <c r="A41" s="9" t="s">
        <v>588</v>
      </c>
      <c r="B41" s="35" t="s">
        <v>612</v>
      </c>
      <c r="C41" s="152">
        <f>D13</f>
        <v>0.33026346604215456</v>
      </c>
      <c r="D41" s="35">
        <f>G31</f>
        <v>0</v>
      </c>
      <c r="E41" s="35">
        <f>D41*C41</f>
        <v>0</v>
      </c>
      <c r="F41" s="41"/>
    </row>
    <row r="42" spans="1:6" x14ac:dyDescent="0.4">
      <c r="A42" s="9"/>
      <c r="B42" s="35"/>
      <c r="C42" s="151"/>
      <c r="D42" s="35"/>
      <c r="E42" s="35"/>
      <c r="F42" s="41"/>
    </row>
    <row r="43" spans="1:6" x14ac:dyDescent="0.4">
      <c r="A43" s="9"/>
      <c r="B43" s="35"/>
      <c r="C43" s="35"/>
      <c r="D43" s="35" t="s">
        <v>613</v>
      </c>
      <c r="E43" s="35" t="s">
        <v>614</v>
      </c>
      <c r="F43" s="41" t="s">
        <v>615</v>
      </c>
    </row>
    <row r="44" spans="1:6" x14ac:dyDescent="0.4">
      <c r="A44" s="24"/>
      <c r="B44" s="42"/>
      <c r="C44" s="42"/>
      <c r="D44" s="107">
        <f>B56</f>
        <v>1</v>
      </c>
      <c r="E44" s="42">
        <f>SUM(E39:E41)</f>
        <v>0</v>
      </c>
      <c r="F44" s="45">
        <f>E44/D44</f>
        <v>0</v>
      </c>
    </row>
    <row r="49" spans="1:4" x14ac:dyDescent="0.4">
      <c r="A49" s="31" t="s">
        <v>616</v>
      </c>
      <c r="B49" s="108" t="s">
        <v>617</v>
      </c>
      <c r="C49" s="108"/>
      <c r="D49" s="6"/>
    </row>
    <row r="50" spans="1:4" x14ac:dyDescent="0.4">
      <c r="A50" s="9"/>
      <c r="B50" s="35"/>
      <c r="C50" s="35"/>
      <c r="D50" s="41"/>
    </row>
    <row r="51" spans="1:4" x14ac:dyDescent="0.4">
      <c r="A51" s="9" t="s">
        <v>618</v>
      </c>
      <c r="B51" s="35"/>
      <c r="C51" s="35"/>
      <c r="D51" s="41"/>
    </row>
    <row r="52" spans="1:4" x14ac:dyDescent="0.4">
      <c r="A52" s="9"/>
      <c r="B52" s="35"/>
      <c r="C52" s="35"/>
      <c r="D52" s="41"/>
    </row>
    <row r="53" spans="1:4" x14ac:dyDescent="0.4">
      <c r="A53" s="9" t="s">
        <v>551</v>
      </c>
      <c r="B53" s="69">
        <v>0.5</v>
      </c>
      <c r="C53" s="35"/>
      <c r="D53" s="41"/>
    </row>
    <row r="54" spans="1:4" x14ac:dyDescent="0.4">
      <c r="A54" s="9" t="s">
        <v>552</v>
      </c>
      <c r="B54" s="69">
        <f>(1-D54)</f>
        <v>0.5</v>
      </c>
      <c r="C54" s="35" t="s">
        <v>619</v>
      </c>
      <c r="D54" s="143">
        <f>Macro!D15</f>
        <v>0.5</v>
      </c>
    </row>
    <row r="55" spans="1:4" x14ac:dyDescent="0.4">
      <c r="A55" s="9"/>
      <c r="B55" s="35"/>
      <c r="C55" s="35"/>
      <c r="D55" s="41"/>
    </row>
    <row r="56" spans="1:4" x14ac:dyDescent="0.4">
      <c r="A56" s="24" t="s">
        <v>620</v>
      </c>
      <c r="B56" s="153">
        <f>LN(B53)/LN(1-B54)</f>
        <v>1</v>
      </c>
      <c r="C56" s="42"/>
      <c r="D56" s="45"/>
    </row>
  </sheetData>
  <mergeCells count="2">
    <mergeCell ref="A16:C16"/>
    <mergeCell ref="A26:C26"/>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135"/>
  <sheetViews>
    <sheetView zoomScale="135" zoomScaleNormal="135" workbookViewId="0">
      <selection sqref="A1:P1"/>
    </sheetView>
  </sheetViews>
  <sheetFormatPr defaultColWidth="8.69140625" defaultRowHeight="14.6" x14ac:dyDescent="0.4"/>
  <cols>
    <col min="1" max="1" width="18.69140625" customWidth="1"/>
    <col min="2" max="2" width="44.4609375" customWidth="1"/>
    <col min="3" max="3" width="11.53515625" customWidth="1"/>
    <col min="4" max="4" width="20.23046875" customWidth="1"/>
    <col min="5" max="5" width="34.3828125" customWidth="1"/>
    <col min="6" max="6" width="31.69140625" customWidth="1"/>
    <col min="7" max="7" width="12.84375" customWidth="1"/>
    <col min="8" max="8" width="29" customWidth="1"/>
    <col min="9" max="9" width="10.84375" customWidth="1"/>
    <col min="10" max="10" width="50.84375" customWidth="1"/>
    <col min="11" max="11" width="24.15234375" customWidth="1"/>
    <col min="12" max="12" width="21.61328125" customWidth="1"/>
    <col min="13" max="13" width="18.3828125" customWidth="1"/>
    <col min="16" max="16" width="21.23046875" customWidth="1"/>
    <col min="17" max="17" width="27.61328125" customWidth="1"/>
  </cols>
  <sheetData>
    <row r="1" spans="1:33" x14ac:dyDescent="0.4">
      <c r="A1" s="216" t="s">
        <v>621</v>
      </c>
      <c r="B1" s="216"/>
      <c r="C1" s="216"/>
      <c r="D1" s="216"/>
      <c r="E1" s="216"/>
      <c r="F1" s="216"/>
      <c r="G1" s="216"/>
      <c r="H1" s="216"/>
      <c r="I1" s="216"/>
      <c r="J1" s="216"/>
      <c r="K1" s="216"/>
      <c r="L1" s="216"/>
      <c r="M1" s="216"/>
      <c r="N1" s="216"/>
      <c r="O1" s="216"/>
      <c r="P1" s="216"/>
      <c r="Q1" s="154"/>
    </row>
    <row r="3" spans="1:33" x14ac:dyDescent="0.4">
      <c r="A3" s="155" t="s">
        <v>589</v>
      </c>
      <c r="B3" s="156" t="s">
        <v>622</v>
      </c>
      <c r="C3" s="156" t="s">
        <v>581</v>
      </c>
      <c r="D3" s="156" t="s">
        <v>591</v>
      </c>
      <c r="E3" s="156" t="s">
        <v>623</v>
      </c>
      <c r="F3" s="156" t="s">
        <v>581</v>
      </c>
      <c r="G3" s="156" t="s">
        <v>591</v>
      </c>
      <c r="H3" s="156" t="s">
        <v>624</v>
      </c>
      <c r="I3" s="156"/>
      <c r="J3" s="156" t="s">
        <v>591</v>
      </c>
      <c r="K3" s="156" t="s">
        <v>392</v>
      </c>
      <c r="L3" s="156" t="s">
        <v>591</v>
      </c>
      <c r="M3" s="156" t="s">
        <v>625</v>
      </c>
      <c r="N3" s="156"/>
      <c r="O3" s="156" t="s">
        <v>395</v>
      </c>
      <c r="P3" s="156" t="s">
        <v>626</v>
      </c>
      <c r="Q3" s="157" t="s">
        <v>627</v>
      </c>
    </row>
    <row r="4" spans="1:33" x14ac:dyDescent="0.4">
      <c r="A4" s="9" t="s">
        <v>628</v>
      </c>
      <c r="B4" s="158" t="s">
        <v>629</v>
      </c>
      <c r="C4" s="158">
        <v>157.55000000000001</v>
      </c>
      <c r="D4" s="35">
        <f>'A. Databases'!H11</f>
        <v>0</v>
      </c>
      <c r="E4" s="35" t="s">
        <v>630</v>
      </c>
      <c r="F4" s="35">
        <v>141.1</v>
      </c>
      <c r="G4" s="35">
        <f>((D4*C4/1000)*(1/O4)+J4+L4*(C4/1000))/(F4/1000)</f>
        <v>0</v>
      </c>
      <c r="H4" s="158" t="s">
        <v>631</v>
      </c>
      <c r="I4" s="158"/>
      <c r="J4" s="35"/>
      <c r="K4" s="158" t="s">
        <v>57</v>
      </c>
      <c r="L4" s="35">
        <f>'A. Databases'!H4</f>
        <v>0</v>
      </c>
      <c r="M4" s="35" t="s">
        <v>632</v>
      </c>
      <c r="N4" s="35"/>
      <c r="O4" s="35">
        <v>0.90100000000000002</v>
      </c>
      <c r="P4" s="35"/>
      <c r="Q4" s="159"/>
    </row>
    <row r="5" spans="1:33" x14ac:dyDescent="0.4">
      <c r="A5" s="9" t="s">
        <v>633</v>
      </c>
      <c r="B5" s="158" t="s">
        <v>630</v>
      </c>
      <c r="C5" s="158">
        <v>141.1</v>
      </c>
      <c r="D5" s="35">
        <f>G4</f>
        <v>0</v>
      </c>
      <c r="E5" s="35" t="s">
        <v>634</v>
      </c>
      <c r="F5" s="35">
        <v>111.12</v>
      </c>
      <c r="G5" s="35">
        <f>((C5*D5/1000)*(1/O5)+(J5+L5)*(C5/1000))/(F5/1000)</f>
        <v>0</v>
      </c>
      <c r="H5" s="158" t="s">
        <v>635</v>
      </c>
      <c r="I5" s="158"/>
      <c r="J5" s="35">
        <f>'A. Databases'!H20+'A. Databases'!H13</f>
        <v>0</v>
      </c>
      <c r="K5" s="158" t="s">
        <v>636</v>
      </c>
      <c r="L5" s="35">
        <f>'A. Databases'!H28</f>
        <v>0</v>
      </c>
      <c r="M5" s="35" t="s">
        <v>637</v>
      </c>
      <c r="N5" s="35"/>
      <c r="O5" s="35">
        <v>0.996</v>
      </c>
      <c r="P5" s="35"/>
      <c r="Q5" s="159"/>
    </row>
    <row r="6" spans="1:33" x14ac:dyDescent="0.4">
      <c r="A6" s="9" t="s">
        <v>638</v>
      </c>
      <c r="B6" s="158" t="s">
        <v>634</v>
      </c>
      <c r="C6" s="158">
        <v>111.12</v>
      </c>
      <c r="D6" s="35">
        <f>G5</f>
        <v>0</v>
      </c>
      <c r="E6" s="35" t="s">
        <v>639</v>
      </c>
      <c r="F6" s="35">
        <v>188.96</v>
      </c>
      <c r="G6" s="35">
        <f>((C6*D6/1000)+(I6*J6/1000)+(I7*J7/1000)+(I8*J8/1000)+(I9*J9/1000)+(I10*J10/1000))/(F6/1000)/O6</f>
        <v>0</v>
      </c>
      <c r="H6" s="160" t="s">
        <v>640</v>
      </c>
      <c r="I6" s="160">
        <v>60.052</v>
      </c>
      <c r="J6" s="63">
        <f>'A. Databases'!H125</f>
        <v>0</v>
      </c>
      <c r="K6" s="160"/>
      <c r="L6" s="35"/>
      <c r="M6" s="35"/>
      <c r="N6" s="35"/>
      <c r="O6" s="35">
        <v>0.44</v>
      </c>
      <c r="P6" s="35"/>
      <c r="Q6" s="159"/>
    </row>
    <row r="7" spans="1:33" x14ac:dyDescent="0.4">
      <c r="A7" s="9"/>
      <c r="B7" s="35"/>
      <c r="C7" s="35"/>
      <c r="D7" s="35"/>
      <c r="E7" s="35"/>
      <c r="F7" s="35"/>
      <c r="G7" s="35"/>
      <c r="H7" s="160" t="s">
        <v>641</v>
      </c>
      <c r="I7" s="160">
        <v>17.030999999999999</v>
      </c>
      <c r="J7" s="63">
        <f>'A. Databases'!H13</f>
        <v>0</v>
      </c>
      <c r="K7" s="160"/>
      <c r="L7" s="35"/>
      <c r="M7" s="35"/>
      <c r="N7" s="35"/>
      <c r="O7" s="35"/>
      <c r="P7" s="35"/>
      <c r="Q7" s="70"/>
      <c r="R7" s="35"/>
      <c r="S7" s="35"/>
      <c r="T7" s="35"/>
      <c r="U7" s="35"/>
      <c r="V7" s="35"/>
      <c r="W7" s="35"/>
      <c r="X7" s="35"/>
      <c r="Y7" s="35"/>
      <c r="Z7" s="35"/>
      <c r="AA7" s="35"/>
      <c r="AB7" s="35"/>
      <c r="AC7" s="35"/>
      <c r="AD7" s="35"/>
      <c r="AE7" s="35"/>
      <c r="AF7" s="35"/>
      <c r="AG7" s="35"/>
    </row>
    <row r="8" spans="1:33" x14ac:dyDescent="0.4">
      <c r="A8" s="9"/>
      <c r="B8" s="35"/>
      <c r="C8" s="35"/>
      <c r="D8" s="35"/>
      <c r="E8" s="35"/>
      <c r="F8" s="35"/>
      <c r="G8" s="35"/>
      <c r="H8" s="63" t="s">
        <v>642</v>
      </c>
      <c r="I8" s="63">
        <v>116.52</v>
      </c>
      <c r="J8" s="63">
        <f>'A. Databases'!H126</f>
        <v>0</v>
      </c>
      <c r="K8" s="160"/>
      <c r="L8" s="35"/>
      <c r="M8" s="35"/>
      <c r="N8" s="35"/>
      <c r="O8" s="35"/>
      <c r="P8" s="35"/>
      <c r="Q8" s="70"/>
      <c r="R8" s="35"/>
      <c r="S8" s="35"/>
      <c r="T8" s="35"/>
      <c r="U8" s="35"/>
      <c r="V8" s="35"/>
      <c r="W8" s="35"/>
      <c r="X8" s="35"/>
      <c r="Y8" s="35"/>
      <c r="Z8" s="35"/>
      <c r="AA8" s="35"/>
      <c r="AB8" s="35"/>
      <c r="AC8" s="35"/>
      <c r="AD8" s="35"/>
      <c r="AE8" s="35"/>
      <c r="AF8" s="35"/>
      <c r="AG8" s="35"/>
    </row>
    <row r="9" spans="1:33" x14ac:dyDescent="0.4">
      <c r="A9" s="9"/>
      <c r="B9" s="35"/>
      <c r="C9" s="35"/>
      <c r="D9" s="35"/>
      <c r="E9" s="35"/>
      <c r="F9" s="35"/>
      <c r="G9" s="35"/>
      <c r="H9" s="160" t="s">
        <v>643</v>
      </c>
      <c r="I9" s="160">
        <v>80.91</v>
      </c>
      <c r="J9" s="63">
        <f>'A. Databases'!H27</f>
        <v>0</v>
      </c>
      <c r="K9" s="63"/>
      <c r="L9" s="35"/>
      <c r="M9" s="35"/>
      <c r="N9" s="35"/>
      <c r="O9" s="35"/>
      <c r="P9" s="35"/>
      <c r="Q9" s="70"/>
    </row>
    <row r="10" spans="1:33" ht="43.75" x14ac:dyDescent="0.4">
      <c r="A10" s="24"/>
      <c r="B10" s="42"/>
      <c r="C10" s="42"/>
      <c r="D10" s="42"/>
      <c r="E10" s="42"/>
      <c r="F10" s="42"/>
      <c r="G10" s="42"/>
      <c r="H10" s="161" t="s">
        <v>644</v>
      </c>
      <c r="I10" s="161">
        <v>98.08</v>
      </c>
      <c r="J10" s="74">
        <f>'A. Databases'!H16</f>
        <v>0</v>
      </c>
      <c r="K10" s="161" t="s">
        <v>645</v>
      </c>
      <c r="L10" s="42"/>
      <c r="M10" s="42"/>
      <c r="N10" s="42"/>
      <c r="O10" s="42"/>
      <c r="P10" s="42"/>
      <c r="Q10" s="127"/>
    </row>
    <row r="11" spans="1:33" x14ac:dyDescent="0.4">
      <c r="Q11" s="15"/>
    </row>
    <row r="12" spans="1:33" x14ac:dyDescent="0.4">
      <c r="Q12" s="15"/>
    </row>
    <row r="13" spans="1:33" x14ac:dyDescent="0.4">
      <c r="A13" s="216" t="s">
        <v>646</v>
      </c>
      <c r="B13" s="216"/>
      <c r="C13" s="216"/>
      <c r="D13" s="216"/>
      <c r="E13" s="216"/>
      <c r="F13" s="216"/>
      <c r="G13" s="216"/>
      <c r="H13" s="216"/>
      <c r="I13" s="216"/>
      <c r="J13" s="216"/>
      <c r="K13" s="216"/>
      <c r="L13" s="216"/>
      <c r="M13" s="216"/>
      <c r="N13" s="216"/>
      <c r="O13" s="216"/>
      <c r="P13" s="216"/>
      <c r="Q13" s="15"/>
    </row>
    <row r="14" spans="1:33" x14ac:dyDescent="0.4">
      <c r="Q14" s="15"/>
    </row>
    <row r="15" spans="1:33" x14ac:dyDescent="0.4">
      <c r="A15" s="155" t="s">
        <v>589</v>
      </c>
      <c r="B15" s="156" t="s">
        <v>622</v>
      </c>
      <c r="C15" s="156" t="s">
        <v>581</v>
      </c>
      <c r="D15" s="156" t="s">
        <v>591</v>
      </c>
      <c r="E15" s="156" t="s">
        <v>623</v>
      </c>
      <c r="F15" s="156" t="s">
        <v>581</v>
      </c>
      <c r="G15" s="156" t="s">
        <v>591</v>
      </c>
      <c r="H15" s="156" t="s">
        <v>624</v>
      </c>
      <c r="I15" s="156" t="s">
        <v>386</v>
      </c>
      <c r="J15" s="156" t="s">
        <v>591</v>
      </c>
      <c r="K15" s="156" t="s">
        <v>392</v>
      </c>
      <c r="L15" s="156" t="s">
        <v>591</v>
      </c>
      <c r="M15" s="156" t="s">
        <v>625</v>
      </c>
      <c r="N15" s="156"/>
      <c r="O15" s="156" t="s">
        <v>395</v>
      </c>
      <c r="P15" s="156" t="s">
        <v>647</v>
      </c>
      <c r="Q15" s="157" t="s">
        <v>627</v>
      </c>
    </row>
    <row r="16" spans="1:33" x14ac:dyDescent="0.4">
      <c r="A16" s="9" t="s">
        <v>628</v>
      </c>
      <c r="B16" s="35" t="s">
        <v>629</v>
      </c>
      <c r="C16" s="35">
        <v>157.55000000000001</v>
      </c>
      <c r="D16" s="35">
        <f>'A. Databases'!H11</f>
        <v>0</v>
      </c>
      <c r="E16" s="35" t="s">
        <v>630</v>
      </c>
      <c r="F16" s="35">
        <v>141.1</v>
      </c>
      <c r="G16" s="35">
        <f>((C16*D16/1000)/O16+L16*(C16/1000))/(F16/1000)</f>
        <v>0</v>
      </c>
      <c r="H16" s="63" t="s">
        <v>631</v>
      </c>
      <c r="I16" s="35"/>
      <c r="J16" s="35"/>
      <c r="K16" s="35" t="s">
        <v>648</v>
      </c>
      <c r="L16" s="35">
        <f>'A. Databases'!H4</f>
        <v>0</v>
      </c>
      <c r="M16" s="35" t="s">
        <v>649</v>
      </c>
      <c r="N16" s="35"/>
      <c r="O16" s="35">
        <v>0.90100000000000002</v>
      </c>
      <c r="P16" s="35"/>
      <c r="Q16" s="162"/>
    </row>
    <row r="17" spans="1:17" x14ac:dyDescent="0.4">
      <c r="A17" s="9" t="s">
        <v>633</v>
      </c>
      <c r="B17" s="35" t="s">
        <v>630</v>
      </c>
      <c r="C17" s="35">
        <v>141.1</v>
      </c>
      <c r="D17" s="35">
        <f>G16</f>
        <v>0</v>
      </c>
      <c r="E17" s="35" t="s">
        <v>634</v>
      </c>
      <c r="F17" s="35">
        <v>111.12</v>
      </c>
      <c r="G17" s="35">
        <f>((C17*D17/1000)/O17+(J17+L17)*(C17/1000))/(F17/1000)</f>
        <v>0</v>
      </c>
      <c r="H17" s="35" t="s">
        <v>650</v>
      </c>
      <c r="I17" s="35"/>
      <c r="J17" s="35">
        <f>'A. Databases'!H20+'A. Databases'!H13</f>
        <v>0</v>
      </c>
      <c r="K17" s="35" t="s">
        <v>394</v>
      </c>
      <c r="L17" s="35">
        <f>'A. Databases'!H33</f>
        <v>0</v>
      </c>
      <c r="M17" s="35" t="s">
        <v>637</v>
      </c>
      <c r="N17" s="35"/>
      <c r="O17" s="35">
        <v>0.996</v>
      </c>
      <c r="P17" s="35"/>
      <c r="Q17" s="162"/>
    </row>
    <row r="18" spans="1:17" x14ac:dyDescent="0.4">
      <c r="A18" s="9" t="s">
        <v>638</v>
      </c>
      <c r="B18" s="35" t="s">
        <v>634</v>
      </c>
      <c r="C18" s="35">
        <v>111.12</v>
      </c>
      <c r="D18" s="35">
        <f>G17</f>
        <v>0</v>
      </c>
      <c r="E18" s="35" t="s">
        <v>651</v>
      </c>
      <c r="F18" s="35">
        <v>165.12</v>
      </c>
      <c r="G18" s="35">
        <f>((C18*D18/1000)/O18+L18*(C18/1000))/(F18/1000)</f>
        <v>0</v>
      </c>
      <c r="H18" s="35"/>
      <c r="I18" s="35"/>
      <c r="J18" s="35"/>
      <c r="K18" s="35"/>
      <c r="L18" s="35"/>
      <c r="M18" s="35"/>
      <c r="N18" s="35"/>
      <c r="O18" s="35">
        <v>0.56999999999999995</v>
      </c>
      <c r="P18" s="35"/>
      <c r="Q18" s="162"/>
    </row>
    <row r="19" spans="1:17" x14ac:dyDescent="0.4">
      <c r="A19" s="24" t="s">
        <v>652</v>
      </c>
      <c r="B19" s="42" t="s">
        <v>651</v>
      </c>
      <c r="C19" s="42">
        <v>165.12</v>
      </c>
      <c r="D19" s="42">
        <f>G18</f>
        <v>0</v>
      </c>
      <c r="E19" s="42" t="s">
        <v>653</v>
      </c>
      <c r="F19" s="42">
        <v>155.13</v>
      </c>
      <c r="G19" s="42">
        <f>((C19*D19/1000)/O19+(J19+L19)*(C19/1000))/(F19/1000)</f>
        <v>0</v>
      </c>
      <c r="H19" s="42" t="s">
        <v>654</v>
      </c>
      <c r="I19" s="42"/>
      <c r="J19" s="42">
        <f>'A. Databases'!H14+'A. Databases'!H20</f>
        <v>0</v>
      </c>
      <c r="K19" s="42" t="s">
        <v>434</v>
      </c>
      <c r="L19" s="42">
        <f>'A. Databases'!H38</f>
        <v>0</v>
      </c>
      <c r="M19" s="42" t="s">
        <v>655</v>
      </c>
      <c r="N19" s="42"/>
      <c r="O19" s="42">
        <v>0.96</v>
      </c>
      <c r="P19" s="42"/>
      <c r="Q19" s="163"/>
    </row>
    <row r="20" spans="1:17" x14ac:dyDescent="0.4">
      <c r="A20" s="164" t="s">
        <v>656</v>
      </c>
      <c r="B20" s="164"/>
      <c r="C20" s="164"/>
      <c r="D20" s="164"/>
      <c r="E20" s="164"/>
      <c r="F20" s="164"/>
      <c r="G20" s="164"/>
      <c r="H20" s="164"/>
      <c r="I20" s="164"/>
      <c r="J20" s="165" t="s">
        <v>657</v>
      </c>
      <c r="K20" s="164"/>
      <c r="L20" s="164"/>
      <c r="M20" s="164"/>
      <c r="N20" s="164"/>
      <c r="O20" s="164"/>
      <c r="P20" s="164"/>
      <c r="Q20" s="164"/>
    </row>
    <row r="21" spans="1:17" x14ac:dyDescent="0.4">
      <c r="A21" s="166" t="s">
        <v>589</v>
      </c>
      <c r="B21" s="167" t="s">
        <v>622</v>
      </c>
      <c r="C21" s="167" t="s">
        <v>658</v>
      </c>
      <c r="D21" s="167" t="s">
        <v>591</v>
      </c>
      <c r="E21" s="167" t="s">
        <v>623</v>
      </c>
      <c r="F21" s="167" t="s">
        <v>658</v>
      </c>
      <c r="G21" s="167" t="s">
        <v>591</v>
      </c>
      <c r="H21" s="167" t="s">
        <v>624</v>
      </c>
      <c r="I21" s="167" t="s">
        <v>658</v>
      </c>
      <c r="J21" s="167" t="s">
        <v>591</v>
      </c>
      <c r="K21" s="167" t="s">
        <v>392</v>
      </c>
      <c r="L21" s="167" t="s">
        <v>591</v>
      </c>
      <c r="M21" s="167" t="s">
        <v>625</v>
      </c>
      <c r="N21" s="167"/>
      <c r="O21" s="167" t="s">
        <v>395</v>
      </c>
      <c r="P21" s="167" t="s">
        <v>647</v>
      </c>
      <c r="Q21" s="168" t="s">
        <v>627</v>
      </c>
    </row>
    <row r="22" spans="1:17" x14ac:dyDescent="0.4">
      <c r="A22" s="169" t="s">
        <v>628</v>
      </c>
      <c r="B22" s="170" t="s">
        <v>564</v>
      </c>
      <c r="C22" s="170">
        <v>1</v>
      </c>
      <c r="D22" s="170"/>
      <c r="E22" s="170" t="s">
        <v>659</v>
      </c>
      <c r="F22" s="170">
        <v>1</v>
      </c>
      <c r="G22" s="170"/>
      <c r="H22" s="170" t="s">
        <v>660</v>
      </c>
      <c r="I22" s="170">
        <v>1</v>
      </c>
      <c r="J22" s="170">
        <f>'A. Databases'!H12</f>
        <v>0</v>
      </c>
      <c r="K22" s="170"/>
      <c r="L22" s="170"/>
      <c r="M22" s="170"/>
      <c r="N22" s="170"/>
      <c r="O22" s="170">
        <v>0.72499999999999998</v>
      </c>
      <c r="P22" s="170"/>
      <c r="Q22" s="171"/>
    </row>
    <row r="23" spans="1:17" x14ac:dyDescent="0.4">
      <c r="A23" s="169" t="s">
        <v>633</v>
      </c>
      <c r="B23" s="170" t="s">
        <v>659</v>
      </c>
      <c r="C23" s="170">
        <v>1</v>
      </c>
      <c r="D23" s="170"/>
      <c r="E23" s="170" t="s">
        <v>661</v>
      </c>
      <c r="F23" s="170">
        <v>1</v>
      </c>
      <c r="G23" s="170"/>
      <c r="H23" s="170" t="s">
        <v>662</v>
      </c>
      <c r="I23" s="170">
        <v>1</v>
      </c>
      <c r="J23" s="170">
        <f>'A. Databases'!H13</f>
        <v>0</v>
      </c>
      <c r="K23" s="170"/>
      <c r="L23" s="170"/>
      <c r="M23" s="170"/>
      <c r="N23" s="170"/>
      <c r="O23" s="170">
        <v>0.87</v>
      </c>
      <c r="P23" s="170"/>
      <c r="Q23" s="171"/>
    </row>
    <row r="24" spans="1:17" x14ac:dyDescent="0.4">
      <c r="A24" s="172" t="s">
        <v>638</v>
      </c>
      <c r="B24" s="173" t="s">
        <v>661</v>
      </c>
      <c r="C24" s="173">
        <v>1</v>
      </c>
      <c r="D24" s="173">
        <f>'A. Databases'!H91</f>
        <v>0</v>
      </c>
      <c r="E24" s="173" t="s">
        <v>663</v>
      </c>
      <c r="F24" s="173">
        <v>1</v>
      </c>
      <c r="G24" s="173">
        <f>(D24+J24)/O24</f>
        <v>0</v>
      </c>
      <c r="H24" s="173" t="s">
        <v>664</v>
      </c>
      <c r="I24" s="173">
        <v>1</v>
      </c>
      <c r="J24" s="173">
        <f>'A. Databases'!H14</f>
        <v>0</v>
      </c>
      <c r="K24" s="173"/>
      <c r="L24" s="173"/>
      <c r="M24" s="173"/>
      <c r="N24" s="173"/>
      <c r="O24" s="173">
        <v>0.95</v>
      </c>
      <c r="P24" s="173"/>
      <c r="Q24" s="174"/>
    </row>
    <row r="25" spans="1:17" x14ac:dyDescent="0.4">
      <c r="A25" s="172" t="s">
        <v>652</v>
      </c>
      <c r="B25" s="173" t="s">
        <v>663</v>
      </c>
      <c r="C25" s="173">
        <v>1</v>
      </c>
      <c r="D25" s="173">
        <f>G24</f>
        <v>0</v>
      </c>
      <c r="E25" s="173" t="s">
        <v>665</v>
      </c>
      <c r="F25" s="173">
        <v>1</v>
      </c>
      <c r="G25" s="173">
        <f>(D25+J25)/O25</f>
        <v>0</v>
      </c>
      <c r="H25" s="173" t="s">
        <v>666</v>
      </c>
      <c r="I25" s="173">
        <v>1</v>
      </c>
      <c r="J25" s="173">
        <f>'A. Databases'!H12</f>
        <v>0</v>
      </c>
      <c r="K25" s="173"/>
      <c r="L25" s="173"/>
      <c r="M25" s="173"/>
      <c r="N25" s="173"/>
      <c r="O25" s="173">
        <v>0.92300000000000004</v>
      </c>
      <c r="P25" s="173"/>
      <c r="Q25" s="174"/>
    </row>
    <row r="26" spans="1:17" x14ac:dyDescent="0.4">
      <c r="A26" s="172" t="s">
        <v>667</v>
      </c>
      <c r="B26" s="173" t="s">
        <v>665</v>
      </c>
      <c r="C26" s="173">
        <v>1</v>
      </c>
      <c r="D26" s="173">
        <f>G25</f>
        <v>0</v>
      </c>
      <c r="E26" s="173" t="s">
        <v>668</v>
      </c>
      <c r="F26" s="173">
        <v>1</v>
      </c>
      <c r="G26" s="173">
        <f>(D26+J26)/O26</f>
        <v>0</v>
      </c>
      <c r="H26" s="173" t="s">
        <v>434</v>
      </c>
      <c r="I26" s="173">
        <v>1</v>
      </c>
      <c r="J26" s="173">
        <f>'A. Databases'!H38</f>
        <v>0</v>
      </c>
      <c r="K26" s="173"/>
      <c r="L26" s="173"/>
      <c r="M26" s="173"/>
      <c r="N26" s="173"/>
      <c r="O26" s="173">
        <v>1</v>
      </c>
      <c r="P26" s="173"/>
      <c r="Q26" s="174"/>
    </row>
    <row r="27" spans="1:17" x14ac:dyDescent="0.4">
      <c r="A27" s="172" t="s">
        <v>669</v>
      </c>
      <c r="B27" s="173" t="s">
        <v>668</v>
      </c>
      <c r="C27" s="173">
        <v>1</v>
      </c>
      <c r="D27" s="173">
        <f>G26</f>
        <v>0</v>
      </c>
      <c r="E27" s="173" t="s">
        <v>665</v>
      </c>
      <c r="F27" s="173">
        <v>1</v>
      </c>
      <c r="G27" s="173">
        <f>(D27+J27)/O27</f>
        <v>0</v>
      </c>
      <c r="H27" s="173" t="s">
        <v>670</v>
      </c>
      <c r="I27" s="173">
        <v>1</v>
      </c>
      <c r="J27" s="173">
        <f>'A. Databases'!H67</f>
        <v>0</v>
      </c>
      <c r="K27" s="173"/>
      <c r="L27" s="173"/>
      <c r="M27" s="173"/>
      <c r="N27" s="173"/>
      <c r="O27" s="173">
        <v>1</v>
      </c>
      <c r="P27" s="173"/>
      <c r="Q27" s="174"/>
    </row>
    <row r="28" spans="1:17" x14ac:dyDescent="0.4">
      <c r="A28" s="175" t="s">
        <v>671</v>
      </c>
      <c r="B28" s="176" t="s">
        <v>665</v>
      </c>
      <c r="C28" s="176">
        <v>1</v>
      </c>
      <c r="D28" s="176">
        <f>G27</f>
        <v>0</v>
      </c>
      <c r="E28" s="176" t="s">
        <v>672</v>
      </c>
      <c r="F28" s="176">
        <v>1</v>
      </c>
      <c r="G28" s="176">
        <f>(D28+J28)/O28</f>
        <v>0</v>
      </c>
      <c r="H28" s="176" t="s">
        <v>673</v>
      </c>
      <c r="I28" s="176">
        <v>1</v>
      </c>
      <c r="J28" s="176">
        <f>'A. Databases'!H14+'A. Databases'!H15+'A. Databases'!H16</f>
        <v>0</v>
      </c>
      <c r="K28" s="176"/>
      <c r="L28" s="176"/>
      <c r="M28" s="176"/>
      <c r="N28" s="176"/>
      <c r="O28" s="176">
        <v>1</v>
      </c>
      <c r="P28" s="176"/>
      <c r="Q28" s="177"/>
    </row>
    <row r="31" spans="1:17" x14ac:dyDescent="0.4">
      <c r="J31" s="3" t="s">
        <v>448</v>
      </c>
    </row>
    <row r="32" spans="1:17" x14ac:dyDescent="0.4">
      <c r="A32" s="155" t="s">
        <v>589</v>
      </c>
      <c r="B32" s="156" t="s">
        <v>622</v>
      </c>
      <c r="C32" s="156" t="s">
        <v>658</v>
      </c>
      <c r="D32" s="156" t="s">
        <v>591</v>
      </c>
      <c r="E32" s="156" t="s">
        <v>623</v>
      </c>
      <c r="F32" s="156" t="s">
        <v>658</v>
      </c>
      <c r="G32" s="156" t="s">
        <v>591</v>
      </c>
      <c r="H32" s="156" t="s">
        <v>624</v>
      </c>
      <c r="I32" s="156" t="s">
        <v>658</v>
      </c>
      <c r="J32" s="156" t="s">
        <v>591</v>
      </c>
      <c r="K32" s="156" t="s">
        <v>392</v>
      </c>
      <c r="L32" s="156" t="s">
        <v>591</v>
      </c>
      <c r="M32" s="156" t="s">
        <v>625</v>
      </c>
      <c r="N32" s="156"/>
      <c r="O32" s="156" t="s">
        <v>395</v>
      </c>
      <c r="P32" s="156" t="s">
        <v>647</v>
      </c>
      <c r="Q32" s="178" t="s">
        <v>627</v>
      </c>
    </row>
    <row r="33" spans="1:17" x14ac:dyDescent="0.4">
      <c r="A33" s="217" t="s">
        <v>628</v>
      </c>
      <c r="B33" s="18" t="s">
        <v>674</v>
      </c>
      <c r="C33" s="108">
        <v>2</v>
      </c>
      <c r="D33" s="108">
        <f>'A. Databases'!H71</f>
        <v>0</v>
      </c>
      <c r="E33" s="108" t="s">
        <v>675</v>
      </c>
      <c r="F33" s="108">
        <v>1</v>
      </c>
      <c r="G33" s="108">
        <f>2*D33+J33</f>
        <v>0</v>
      </c>
      <c r="H33" s="108" t="s">
        <v>565</v>
      </c>
      <c r="I33" s="108">
        <v>1</v>
      </c>
      <c r="J33" s="108">
        <f>'A. Databases'!H12</f>
        <v>0</v>
      </c>
      <c r="K33" s="108"/>
      <c r="L33" s="108"/>
      <c r="M33" s="108"/>
      <c r="N33" s="108"/>
      <c r="O33" s="108">
        <v>1</v>
      </c>
      <c r="P33" s="108"/>
      <c r="Q33" s="6"/>
    </row>
    <row r="34" spans="1:17" x14ac:dyDescent="0.4">
      <c r="A34" s="217"/>
      <c r="B34" s="24"/>
      <c r="C34" s="42"/>
      <c r="D34" s="42"/>
      <c r="E34" s="42" t="s">
        <v>676</v>
      </c>
      <c r="F34" s="42"/>
      <c r="G34" s="42">
        <f>1*D33+J33</f>
        <v>0</v>
      </c>
      <c r="H34" s="42"/>
      <c r="I34" s="42">
        <v>1</v>
      </c>
      <c r="J34" s="42"/>
      <c r="K34" s="42"/>
      <c r="L34" s="42"/>
      <c r="M34" s="42"/>
      <c r="N34" s="42"/>
      <c r="O34" s="42"/>
      <c r="P34" s="42"/>
      <c r="Q34" s="45"/>
    </row>
    <row r="35" spans="1:17" x14ac:dyDescent="0.4">
      <c r="A35" s="218" t="s">
        <v>633</v>
      </c>
      <c r="B35" s="9" t="s">
        <v>675</v>
      </c>
      <c r="C35" s="35">
        <v>1</v>
      </c>
      <c r="D35" s="35">
        <f>G33</f>
        <v>0</v>
      </c>
      <c r="E35" s="35" t="s">
        <v>677</v>
      </c>
      <c r="F35" s="179">
        <v>0.33300000000000002</v>
      </c>
      <c r="G35" s="35">
        <f>(D35+D36+J35)/3</f>
        <v>0</v>
      </c>
      <c r="H35" s="35" t="s">
        <v>678</v>
      </c>
      <c r="I35" s="35">
        <v>1</v>
      </c>
      <c r="J35" s="35">
        <f>'A. Databases'!H72</f>
        <v>0</v>
      </c>
      <c r="K35" s="35"/>
      <c r="L35" s="35"/>
      <c r="M35" s="35"/>
      <c r="N35" s="35"/>
      <c r="O35" s="35">
        <v>1</v>
      </c>
      <c r="P35" s="35"/>
      <c r="Q35" s="41"/>
    </row>
    <row r="36" spans="1:17" x14ac:dyDescent="0.4">
      <c r="A36" s="218"/>
      <c r="B36" s="24" t="s">
        <v>676</v>
      </c>
      <c r="C36" s="42">
        <v>1</v>
      </c>
      <c r="D36" s="42">
        <f>G34</f>
        <v>0</v>
      </c>
      <c r="E36" s="42" t="s">
        <v>679</v>
      </c>
      <c r="F36" s="42">
        <v>0.66600000000000004</v>
      </c>
      <c r="G36" s="42">
        <f>((D35+D36+J35)/3)*2</f>
        <v>0</v>
      </c>
      <c r="H36" s="42"/>
      <c r="I36" s="42">
        <v>1</v>
      </c>
      <c r="J36" s="42"/>
      <c r="K36" s="42"/>
      <c r="L36" s="42"/>
      <c r="M36" s="42"/>
      <c r="N36" s="42"/>
      <c r="O36" s="42"/>
      <c r="P36" s="42"/>
      <c r="Q36" s="45"/>
    </row>
    <row r="40" spans="1:17" x14ac:dyDescent="0.4">
      <c r="J40" s="3" t="s">
        <v>409</v>
      </c>
    </row>
    <row r="41" spans="1:17" x14ac:dyDescent="0.4">
      <c r="A41" s="155" t="s">
        <v>589</v>
      </c>
      <c r="B41" s="156" t="s">
        <v>622</v>
      </c>
      <c r="C41" s="156" t="s">
        <v>581</v>
      </c>
      <c r="D41" s="156" t="s">
        <v>591</v>
      </c>
      <c r="E41" s="156" t="s">
        <v>623</v>
      </c>
      <c r="F41" s="156" t="s">
        <v>581</v>
      </c>
      <c r="G41" s="156" t="s">
        <v>591</v>
      </c>
      <c r="H41" s="156" t="s">
        <v>624</v>
      </c>
      <c r="I41" s="156" t="s">
        <v>386</v>
      </c>
      <c r="J41" s="156" t="s">
        <v>591</v>
      </c>
      <c r="K41" s="156" t="s">
        <v>392</v>
      </c>
      <c r="L41" s="156" t="s">
        <v>591</v>
      </c>
      <c r="M41" s="156" t="s">
        <v>625</v>
      </c>
      <c r="N41" s="156"/>
      <c r="O41" s="156" t="s">
        <v>395</v>
      </c>
      <c r="P41" s="156" t="s">
        <v>647</v>
      </c>
      <c r="Q41" s="178" t="s">
        <v>627</v>
      </c>
    </row>
    <row r="42" spans="1:17" x14ac:dyDescent="0.4">
      <c r="A42" s="215" t="s">
        <v>628</v>
      </c>
      <c r="B42" s="18" t="s">
        <v>680</v>
      </c>
      <c r="C42" s="108">
        <v>114.02</v>
      </c>
      <c r="D42" s="108">
        <f>'A. Databases'!H17</f>
        <v>0</v>
      </c>
      <c r="E42" s="108" t="s">
        <v>681</v>
      </c>
      <c r="F42" s="35">
        <v>210.03</v>
      </c>
      <c r="G42" s="35">
        <f>((2*C42*D42+I42*J42+I43*J43)/F42)/O42</f>
        <v>0</v>
      </c>
      <c r="H42" s="35" t="s">
        <v>569</v>
      </c>
      <c r="I42" s="35">
        <v>98.08</v>
      </c>
      <c r="J42" s="35">
        <f>'A. Databases'!H16</f>
        <v>0</v>
      </c>
      <c r="K42" s="35"/>
      <c r="L42" s="35"/>
      <c r="M42" s="35" t="s">
        <v>682</v>
      </c>
      <c r="N42" s="35" t="s">
        <v>683</v>
      </c>
      <c r="O42" s="35">
        <v>0.99</v>
      </c>
      <c r="P42" s="35"/>
      <c r="Q42" s="41"/>
    </row>
    <row r="43" spans="1:17" x14ac:dyDescent="0.4">
      <c r="A43" s="215"/>
      <c r="B43" s="24"/>
      <c r="C43" s="42"/>
      <c r="D43" s="42"/>
      <c r="E43" s="42"/>
      <c r="F43" s="42"/>
      <c r="G43" s="42"/>
      <c r="H43" s="42" t="s">
        <v>684</v>
      </c>
      <c r="I43" s="42">
        <v>80.06</v>
      </c>
      <c r="J43" s="42">
        <f>'A. Databases'!H48</f>
        <v>0</v>
      </c>
      <c r="K43" s="42"/>
      <c r="L43" s="42"/>
      <c r="M43" s="42"/>
      <c r="N43" s="42"/>
      <c r="O43" s="42"/>
      <c r="P43" s="42"/>
      <c r="Q43" s="45"/>
    </row>
    <row r="46" spans="1:17" x14ac:dyDescent="0.4">
      <c r="J46" s="3" t="s">
        <v>685</v>
      </c>
    </row>
    <row r="47" spans="1:17" x14ac:dyDescent="0.4">
      <c r="A47" s="155" t="s">
        <v>589</v>
      </c>
      <c r="B47" s="156" t="s">
        <v>622</v>
      </c>
      <c r="C47" s="156" t="s">
        <v>658</v>
      </c>
      <c r="D47" s="156" t="s">
        <v>591</v>
      </c>
      <c r="E47" s="156" t="s">
        <v>623</v>
      </c>
      <c r="F47" s="156" t="s">
        <v>658</v>
      </c>
      <c r="G47" s="156" t="s">
        <v>591</v>
      </c>
      <c r="H47" s="156" t="s">
        <v>624</v>
      </c>
      <c r="I47" s="156" t="s">
        <v>658</v>
      </c>
      <c r="J47" s="156" t="s">
        <v>591</v>
      </c>
      <c r="K47" s="156" t="s">
        <v>392</v>
      </c>
      <c r="L47" s="156" t="s">
        <v>591</v>
      </c>
      <c r="M47" s="156" t="s">
        <v>625</v>
      </c>
      <c r="N47" s="156"/>
      <c r="O47" s="156" t="s">
        <v>395</v>
      </c>
      <c r="P47" s="156" t="s">
        <v>647</v>
      </c>
      <c r="Q47" s="178" t="s">
        <v>627</v>
      </c>
    </row>
    <row r="48" spans="1:17" x14ac:dyDescent="0.4">
      <c r="A48" s="215" t="s">
        <v>628</v>
      </c>
      <c r="B48" s="35" t="s">
        <v>686</v>
      </c>
      <c r="C48" s="35">
        <v>1</v>
      </c>
      <c r="D48" s="35">
        <f>'A. Databases'!H93</f>
        <v>0</v>
      </c>
      <c r="E48" s="35" t="s">
        <v>687</v>
      </c>
      <c r="F48" s="35">
        <v>1</v>
      </c>
      <c r="G48" s="35">
        <f>D48+L48</f>
        <v>0</v>
      </c>
      <c r="H48" s="35" t="s">
        <v>688</v>
      </c>
      <c r="I48" s="35">
        <v>1</v>
      </c>
      <c r="J48" s="63" t="s">
        <v>689</v>
      </c>
      <c r="K48" s="35" t="s">
        <v>502</v>
      </c>
      <c r="L48" s="35">
        <f>'A. Databases'!H36</f>
        <v>0</v>
      </c>
      <c r="M48" s="63" t="s">
        <v>690</v>
      </c>
      <c r="N48" s="35"/>
      <c r="O48" s="35" t="s">
        <v>689</v>
      </c>
      <c r="P48" s="35"/>
      <c r="Q48" s="41"/>
    </row>
    <row r="49" spans="1:17" x14ac:dyDescent="0.4">
      <c r="A49" s="215"/>
      <c r="B49" s="42"/>
      <c r="C49" s="42"/>
      <c r="D49" s="42"/>
      <c r="E49" s="42"/>
      <c r="F49" s="42"/>
      <c r="G49" s="42"/>
      <c r="H49" s="42" t="s">
        <v>691</v>
      </c>
      <c r="I49" s="42"/>
      <c r="J49" s="42" t="s">
        <v>689</v>
      </c>
      <c r="K49" s="42"/>
      <c r="L49" s="42"/>
      <c r="M49" s="42"/>
      <c r="N49" s="42"/>
      <c r="O49" s="42"/>
      <c r="P49" s="42"/>
      <c r="Q49" s="45"/>
    </row>
    <row r="52" spans="1:17" x14ac:dyDescent="0.4">
      <c r="J52" s="7" t="s">
        <v>399</v>
      </c>
    </row>
    <row r="53" spans="1:17" x14ac:dyDescent="0.4">
      <c r="A53" s="155" t="s">
        <v>589</v>
      </c>
      <c r="B53" s="156" t="s">
        <v>622</v>
      </c>
      <c r="C53" s="156" t="s">
        <v>581</v>
      </c>
      <c r="D53" s="156" t="s">
        <v>591</v>
      </c>
      <c r="E53" s="156" t="s">
        <v>623</v>
      </c>
      <c r="F53" s="156" t="s">
        <v>581</v>
      </c>
      <c r="G53" s="156" t="s">
        <v>591</v>
      </c>
      <c r="H53" s="156" t="s">
        <v>624</v>
      </c>
      <c r="I53" s="156" t="s">
        <v>386</v>
      </c>
      <c r="J53" s="156" t="s">
        <v>591</v>
      </c>
      <c r="K53" s="156" t="s">
        <v>392</v>
      </c>
      <c r="L53" s="156" t="s">
        <v>591</v>
      </c>
      <c r="M53" s="156" t="s">
        <v>625</v>
      </c>
      <c r="N53" s="156"/>
      <c r="O53" s="156" t="s">
        <v>395</v>
      </c>
      <c r="P53" s="156" t="s">
        <v>647</v>
      </c>
      <c r="Q53" s="178" t="s">
        <v>627</v>
      </c>
    </row>
    <row r="54" spans="1:17" x14ac:dyDescent="0.4">
      <c r="A54" s="9" t="s">
        <v>628</v>
      </c>
      <c r="B54" s="35" t="s">
        <v>692</v>
      </c>
      <c r="C54" s="35">
        <v>106.17</v>
      </c>
      <c r="D54" s="35">
        <f>'A. Databases'!H95</f>
        <v>0</v>
      </c>
      <c r="E54" s="35" t="s">
        <v>693</v>
      </c>
      <c r="F54" s="35">
        <v>312.82</v>
      </c>
      <c r="G54" s="35">
        <f>(C54*D54+3*I54*J54)/F54</f>
        <v>0</v>
      </c>
      <c r="H54" s="35" t="s">
        <v>565</v>
      </c>
      <c r="I54" s="35">
        <v>70.900000000000006</v>
      </c>
      <c r="J54" s="35">
        <f>'A. Databases'!H12</f>
        <v>0</v>
      </c>
      <c r="K54" s="35"/>
      <c r="L54" s="35"/>
      <c r="M54" s="35"/>
      <c r="N54" s="35"/>
      <c r="O54" s="35"/>
      <c r="P54" s="35"/>
      <c r="Q54" s="41"/>
    </row>
    <row r="55" spans="1:17" x14ac:dyDescent="0.4">
      <c r="A55" s="9" t="s">
        <v>633</v>
      </c>
      <c r="B55" s="35" t="s">
        <v>693</v>
      </c>
      <c r="C55" s="35">
        <v>312.8</v>
      </c>
      <c r="D55" s="35">
        <f>G54</f>
        <v>0</v>
      </c>
      <c r="E55" s="35" t="s">
        <v>694</v>
      </c>
      <c r="F55" s="35">
        <v>229.91</v>
      </c>
      <c r="G55" s="35">
        <f>(C55*D55+I55*J55)/F55</f>
        <v>0</v>
      </c>
      <c r="H55" s="63" t="s">
        <v>565</v>
      </c>
      <c r="I55" s="63">
        <v>70.900000000000006</v>
      </c>
      <c r="J55" s="63">
        <f>'A. Databases'!H12</f>
        <v>0</v>
      </c>
      <c r="K55" s="35"/>
      <c r="L55" s="35"/>
      <c r="M55" s="35"/>
      <c r="N55" s="35"/>
      <c r="O55" s="35"/>
      <c r="P55" s="35"/>
      <c r="Q55" s="41"/>
    </row>
    <row r="56" spans="1:17" x14ac:dyDescent="0.4">
      <c r="A56" s="9" t="s">
        <v>638</v>
      </c>
      <c r="B56" s="35" t="s">
        <v>694</v>
      </c>
      <c r="C56" s="35">
        <v>229.91</v>
      </c>
      <c r="D56" s="35">
        <f>G55</f>
        <v>0</v>
      </c>
      <c r="E56" s="35" t="s">
        <v>695</v>
      </c>
      <c r="F56" s="35">
        <v>225.55</v>
      </c>
      <c r="G56" s="35">
        <f>(C56*D56+I56*J56+I57*J57)/F56</f>
        <v>0</v>
      </c>
      <c r="H56" s="63" t="s">
        <v>696</v>
      </c>
      <c r="I56" s="63">
        <v>63.01</v>
      </c>
      <c r="J56" s="63">
        <f>'A. Databases'!H101</f>
        <v>0</v>
      </c>
      <c r="K56" s="35"/>
      <c r="L56" s="35"/>
      <c r="M56" s="35"/>
      <c r="N56" s="35"/>
      <c r="O56" s="35"/>
      <c r="P56" s="35"/>
      <c r="Q56" s="41"/>
    </row>
    <row r="57" spans="1:17" x14ac:dyDescent="0.4">
      <c r="A57" s="9" t="s">
        <v>638</v>
      </c>
      <c r="B57" s="35"/>
      <c r="C57" s="35"/>
      <c r="D57" s="35"/>
      <c r="E57" s="35"/>
      <c r="F57" s="35"/>
      <c r="G57" s="35"/>
      <c r="H57" s="63" t="s">
        <v>567</v>
      </c>
      <c r="I57" s="63">
        <v>20.010000000000002</v>
      </c>
      <c r="J57" s="63">
        <f>'A. Databases'!H96</f>
        <v>0</v>
      </c>
      <c r="K57" s="35"/>
      <c r="L57" s="35"/>
      <c r="M57" s="35"/>
      <c r="N57" s="35"/>
      <c r="O57" s="35"/>
      <c r="P57" s="35"/>
      <c r="Q57" s="41"/>
    </row>
    <row r="58" spans="1:17" x14ac:dyDescent="0.4">
      <c r="A58" s="9" t="s">
        <v>652</v>
      </c>
      <c r="B58" s="35" t="s">
        <v>695</v>
      </c>
      <c r="C58" s="35">
        <v>225.55</v>
      </c>
      <c r="D58" s="35">
        <f>G56</f>
        <v>0</v>
      </c>
      <c r="E58" s="35" t="s">
        <v>697</v>
      </c>
      <c r="F58" s="35">
        <v>221.14</v>
      </c>
      <c r="G58" s="35">
        <f>(C58/F58)*D58</f>
        <v>0</v>
      </c>
      <c r="H58" s="63"/>
      <c r="I58" s="63"/>
      <c r="J58" s="63"/>
      <c r="K58" s="35" t="s">
        <v>698</v>
      </c>
      <c r="L58" s="35">
        <f>'A. Databases'!H33</f>
        <v>0</v>
      </c>
      <c r="M58" s="35"/>
      <c r="N58" s="35"/>
      <c r="O58" s="35"/>
      <c r="P58" s="35"/>
      <c r="Q58" s="41"/>
    </row>
    <row r="59" spans="1:17" x14ac:dyDescent="0.4">
      <c r="A59" s="9" t="s">
        <v>667</v>
      </c>
      <c r="B59" s="35" t="s">
        <v>697</v>
      </c>
      <c r="C59" s="35">
        <v>221.14</v>
      </c>
      <c r="D59" s="35">
        <f>G58</f>
        <v>0</v>
      </c>
      <c r="E59" s="35" t="s">
        <v>699</v>
      </c>
      <c r="F59" s="35">
        <v>191.15</v>
      </c>
      <c r="G59" s="35">
        <f>(C59*D59+I59*J59)/F59</f>
        <v>0</v>
      </c>
      <c r="H59" s="63" t="s">
        <v>607</v>
      </c>
      <c r="I59" s="63">
        <v>2</v>
      </c>
      <c r="J59" s="63">
        <f>'A. Databases'!H102</f>
        <v>0</v>
      </c>
      <c r="K59" s="35"/>
      <c r="L59" s="35"/>
      <c r="M59" s="35"/>
      <c r="N59" s="35"/>
      <c r="O59" s="35"/>
      <c r="P59" s="35"/>
      <c r="Q59" s="41"/>
    </row>
    <row r="60" spans="1:17" x14ac:dyDescent="0.4">
      <c r="A60" s="24" t="s">
        <v>669</v>
      </c>
      <c r="B60" s="42" t="s">
        <v>699</v>
      </c>
      <c r="C60" s="42">
        <v>191.15</v>
      </c>
      <c r="D60" s="42">
        <f>G59</f>
        <v>0</v>
      </c>
      <c r="E60" s="42" t="s">
        <v>700</v>
      </c>
      <c r="F60" s="42">
        <v>233.21</v>
      </c>
      <c r="G60" s="42">
        <f>C60/F60*D60+L60</f>
        <v>0</v>
      </c>
      <c r="H60" s="42"/>
      <c r="I60" s="42"/>
      <c r="J60" s="42"/>
      <c r="K60" s="42" t="s">
        <v>701</v>
      </c>
      <c r="L60" s="42">
        <f>'A. Databases'!H24</f>
        <v>0</v>
      </c>
      <c r="M60" s="42"/>
      <c r="N60" s="42"/>
      <c r="O60" s="42"/>
      <c r="P60" s="42"/>
      <c r="Q60" s="45"/>
    </row>
    <row r="63" spans="1:17" x14ac:dyDescent="0.4">
      <c r="J63" s="3" t="s">
        <v>702</v>
      </c>
    </row>
    <row r="64" spans="1:17" x14ac:dyDescent="0.4">
      <c r="A64" s="155" t="s">
        <v>589</v>
      </c>
      <c r="B64" s="156" t="s">
        <v>622</v>
      </c>
      <c r="C64" s="156" t="s">
        <v>581</v>
      </c>
      <c r="D64" s="156" t="s">
        <v>591</v>
      </c>
      <c r="E64" s="156" t="s">
        <v>623</v>
      </c>
      <c r="F64" s="156" t="s">
        <v>581</v>
      </c>
      <c r="G64" s="156" t="s">
        <v>591</v>
      </c>
      <c r="H64" s="156" t="s">
        <v>624</v>
      </c>
      <c r="I64" s="156" t="s">
        <v>386</v>
      </c>
      <c r="J64" s="156" t="s">
        <v>591</v>
      </c>
      <c r="K64" s="156" t="s">
        <v>392</v>
      </c>
      <c r="L64" s="156" t="s">
        <v>591</v>
      </c>
      <c r="M64" s="156" t="s">
        <v>625</v>
      </c>
      <c r="N64" s="156"/>
      <c r="O64" s="156" t="s">
        <v>395</v>
      </c>
      <c r="P64" s="156" t="s">
        <v>647</v>
      </c>
      <c r="Q64" s="178" t="s">
        <v>627</v>
      </c>
    </row>
    <row r="65" spans="1:17" x14ac:dyDescent="0.4">
      <c r="A65" t="s">
        <v>628</v>
      </c>
      <c r="B65" t="s">
        <v>703</v>
      </c>
      <c r="C65">
        <v>27.67</v>
      </c>
      <c r="D65">
        <f>'A. Databases'!H103</f>
        <v>0</v>
      </c>
      <c r="E65" t="s">
        <v>704</v>
      </c>
      <c r="F65">
        <v>75.959999999999994</v>
      </c>
      <c r="G65">
        <f>(((2*C66)/1000*D66)+((C65/1000)*D65)/(2*F65/1000))</f>
        <v>0</v>
      </c>
      <c r="H65" t="s">
        <v>160</v>
      </c>
    </row>
    <row r="66" spans="1:17" x14ac:dyDescent="0.4">
      <c r="B66" t="s">
        <v>705</v>
      </c>
      <c r="C66">
        <v>62.13</v>
      </c>
      <c r="D66">
        <f>'A. Databases'!H104</f>
        <v>0</v>
      </c>
    </row>
    <row r="69" spans="1:17" x14ac:dyDescent="0.4">
      <c r="J69" s="180" t="s">
        <v>706</v>
      </c>
    </row>
    <row r="70" spans="1:17" x14ac:dyDescent="0.4">
      <c r="A70" s="155" t="s">
        <v>589</v>
      </c>
      <c r="B70" s="156" t="s">
        <v>622</v>
      </c>
      <c r="C70" s="156" t="s">
        <v>581</v>
      </c>
      <c r="D70" s="156" t="s">
        <v>591</v>
      </c>
      <c r="E70" s="156" t="s">
        <v>623</v>
      </c>
      <c r="F70" s="156" t="s">
        <v>581</v>
      </c>
      <c r="G70" s="156" t="s">
        <v>591</v>
      </c>
      <c r="H70" s="156" t="s">
        <v>624</v>
      </c>
      <c r="I70" s="156" t="s">
        <v>386</v>
      </c>
      <c r="J70" s="156" t="s">
        <v>591</v>
      </c>
      <c r="K70" s="156" t="s">
        <v>392</v>
      </c>
      <c r="L70" s="156" t="s">
        <v>591</v>
      </c>
      <c r="M70" s="156" t="s">
        <v>625</v>
      </c>
      <c r="N70" s="156"/>
      <c r="O70" s="156" t="s">
        <v>395</v>
      </c>
      <c r="P70" s="156" t="s">
        <v>647</v>
      </c>
      <c r="Q70" s="178" t="s">
        <v>627</v>
      </c>
    </row>
    <row r="71" spans="1:17" x14ac:dyDescent="0.4">
      <c r="A71" t="s">
        <v>628</v>
      </c>
      <c r="B71" t="s">
        <v>707</v>
      </c>
      <c r="C71">
        <v>40.304400000000001</v>
      </c>
      <c r="D71">
        <f>'A. Databases'!H105</f>
        <v>0</v>
      </c>
      <c r="E71" s="128" t="s">
        <v>708</v>
      </c>
      <c r="F71">
        <v>386.55099999999999</v>
      </c>
      <c r="G71" s="2">
        <f>((C71/1000*D71)+(C72*2/1000*D72)+(C73/1000*D73))/(F71/1000)</f>
        <v>0</v>
      </c>
    </row>
    <row r="72" spans="1:17" x14ac:dyDescent="0.4">
      <c r="B72" t="s">
        <v>709</v>
      </c>
      <c r="C72">
        <v>148.1</v>
      </c>
      <c r="D72">
        <f>'A. Databases'!H106</f>
        <v>0</v>
      </c>
    </row>
    <row r="73" spans="1:17" x14ac:dyDescent="0.4">
      <c r="B73" t="s">
        <v>710</v>
      </c>
      <c r="C73">
        <v>148.1</v>
      </c>
      <c r="D73">
        <f>'A. Databases'!H14</f>
        <v>0</v>
      </c>
    </row>
    <row r="76" spans="1:17" x14ac:dyDescent="0.4">
      <c r="A76" s="164" t="s">
        <v>711</v>
      </c>
      <c r="B76" s="164"/>
      <c r="C76" s="164"/>
      <c r="D76" s="164"/>
      <c r="E76" s="164"/>
      <c r="F76" s="164"/>
      <c r="G76" s="164"/>
      <c r="H76" s="164"/>
      <c r="I76" s="164"/>
      <c r="J76" s="165" t="s">
        <v>712</v>
      </c>
      <c r="K76" s="164"/>
      <c r="L76" s="164"/>
      <c r="M76" s="164"/>
      <c r="N76" s="164"/>
      <c r="O76" s="164"/>
      <c r="P76" s="164"/>
      <c r="Q76" s="164"/>
    </row>
    <row r="77" spans="1:17" x14ac:dyDescent="0.4">
      <c r="A77" s="166" t="s">
        <v>589</v>
      </c>
      <c r="B77" s="167" t="s">
        <v>622</v>
      </c>
      <c r="C77" s="156" t="s">
        <v>581</v>
      </c>
      <c r="D77" s="167" t="s">
        <v>591</v>
      </c>
      <c r="E77" s="167" t="s">
        <v>623</v>
      </c>
      <c r="F77" s="156" t="s">
        <v>581</v>
      </c>
      <c r="G77" s="167" t="s">
        <v>591</v>
      </c>
      <c r="H77" s="167" t="s">
        <v>624</v>
      </c>
      <c r="I77" s="167" t="s">
        <v>386</v>
      </c>
      <c r="J77" s="167" t="s">
        <v>591</v>
      </c>
      <c r="K77" s="167" t="s">
        <v>392</v>
      </c>
      <c r="L77" s="167" t="s">
        <v>591</v>
      </c>
      <c r="M77" s="167" t="s">
        <v>625</v>
      </c>
      <c r="N77" s="167"/>
      <c r="O77" s="167" t="s">
        <v>395</v>
      </c>
      <c r="P77" s="167" t="s">
        <v>647</v>
      </c>
      <c r="Q77" s="168" t="s">
        <v>627</v>
      </c>
    </row>
    <row r="78" spans="1:17" x14ac:dyDescent="0.4">
      <c r="A78" s="181" t="s">
        <v>628</v>
      </c>
      <c r="B78" s="182" t="s">
        <v>713</v>
      </c>
      <c r="C78" s="182">
        <v>81.540000000000006</v>
      </c>
      <c r="D78" s="182">
        <f>'A. Databases'!H108</f>
        <v>0</v>
      </c>
      <c r="E78" s="182" t="s">
        <v>714</v>
      </c>
      <c r="F78" s="182">
        <v>71.08</v>
      </c>
      <c r="G78" s="182">
        <f>(D78*(C78/1000)+D79*(C79/1000)+D80*(C80/1000))/(F78/1000)</f>
        <v>0</v>
      </c>
      <c r="H78" s="182"/>
      <c r="I78" s="182"/>
      <c r="J78" s="182"/>
      <c r="K78" s="182" t="s">
        <v>715</v>
      </c>
      <c r="L78" s="182"/>
      <c r="M78" s="182"/>
      <c r="N78" s="182"/>
      <c r="O78" s="182"/>
      <c r="P78" s="182"/>
      <c r="Q78" s="183"/>
    </row>
    <row r="79" spans="1:17" x14ac:dyDescent="0.4">
      <c r="A79" s="172"/>
      <c r="B79" s="173" t="s">
        <v>716</v>
      </c>
      <c r="C79" s="173">
        <v>70.906000000000006</v>
      </c>
      <c r="D79" s="173">
        <f>'A. Databases'!H111</f>
        <v>0</v>
      </c>
      <c r="E79" s="173"/>
      <c r="F79" s="173"/>
      <c r="G79" s="173"/>
      <c r="H79" s="173"/>
      <c r="I79" s="173"/>
      <c r="J79" s="173"/>
      <c r="K79" s="173"/>
      <c r="L79" s="173"/>
      <c r="M79" s="173"/>
      <c r="N79" s="173"/>
      <c r="O79" s="173"/>
      <c r="P79" s="173"/>
      <c r="Q79" s="174"/>
    </row>
    <row r="80" spans="1:17" x14ac:dyDescent="0.4">
      <c r="A80" s="184"/>
      <c r="B80" s="185" t="s">
        <v>324</v>
      </c>
      <c r="C80" s="185">
        <v>296.73</v>
      </c>
      <c r="D80" s="185">
        <f>'A. Databases'!H110</f>
        <v>0</v>
      </c>
      <c r="E80" s="185"/>
      <c r="F80" s="185"/>
      <c r="G80" s="185"/>
      <c r="H80" s="185"/>
      <c r="I80" s="185"/>
      <c r="J80" s="185"/>
      <c r="K80" s="185"/>
      <c r="L80" s="185"/>
      <c r="M80" s="185"/>
      <c r="N80" s="185"/>
      <c r="O80" s="185"/>
      <c r="P80" s="185"/>
      <c r="Q80" s="186"/>
    </row>
    <row r="81" spans="1:17" x14ac:dyDescent="0.4">
      <c r="A81" s="187" t="s">
        <v>633</v>
      </c>
      <c r="B81" s="188" t="s">
        <v>717</v>
      </c>
      <c r="C81" s="188">
        <v>45.09</v>
      </c>
      <c r="D81" s="188">
        <f>'A. Databases'!H109</f>
        <v>0</v>
      </c>
      <c r="E81" s="188" t="s">
        <v>718</v>
      </c>
      <c r="F81" s="188">
        <v>102.18</v>
      </c>
      <c r="G81" s="188">
        <f>(D81*(C81/1000)+D82*(C82/1000))/(F81/1000)</f>
        <v>0</v>
      </c>
      <c r="H81" s="188"/>
      <c r="I81" s="188"/>
      <c r="J81" s="188"/>
      <c r="K81" s="188"/>
      <c r="L81" s="188"/>
      <c r="M81" s="188"/>
      <c r="N81" s="188"/>
      <c r="O81" s="188"/>
      <c r="P81" s="188"/>
      <c r="Q81" s="189"/>
    </row>
    <row r="82" spans="1:17" x14ac:dyDescent="0.4">
      <c r="A82" s="184"/>
      <c r="B82" s="185" t="s">
        <v>719</v>
      </c>
      <c r="C82" s="185">
        <v>56.06</v>
      </c>
      <c r="D82" s="185">
        <f>'A. Databases'!H112</f>
        <v>0</v>
      </c>
      <c r="E82" s="185"/>
      <c r="F82" s="185"/>
      <c r="G82" s="185"/>
      <c r="H82" s="185"/>
      <c r="I82" s="185"/>
      <c r="J82" s="185"/>
      <c r="K82" s="185"/>
      <c r="L82" s="185"/>
      <c r="M82" s="185"/>
      <c r="N82" s="185"/>
      <c r="O82" s="185"/>
      <c r="P82" s="185"/>
      <c r="Q82" s="186"/>
    </row>
    <row r="83" spans="1:17" x14ac:dyDescent="0.4">
      <c r="A83" s="190" t="s">
        <v>720</v>
      </c>
      <c r="B83" s="173" t="s">
        <v>714</v>
      </c>
      <c r="C83" s="191">
        <v>71.08</v>
      </c>
      <c r="D83" s="173">
        <f>G78</f>
        <v>0</v>
      </c>
      <c r="E83" s="173" t="s">
        <v>721</v>
      </c>
      <c r="F83" s="173">
        <v>155.25</v>
      </c>
      <c r="G83" s="173">
        <f>(D83*(C83/1000)+D84*(C84/1000))/(F83/1000)</f>
        <v>0</v>
      </c>
      <c r="H83" s="173"/>
      <c r="I83" s="173"/>
      <c r="J83" s="173"/>
      <c r="K83" s="173"/>
      <c r="L83" s="173"/>
      <c r="M83" s="173"/>
      <c r="N83" s="173"/>
      <c r="O83" s="173"/>
      <c r="P83" s="173"/>
      <c r="Q83" s="174"/>
    </row>
    <row r="84" spans="1:17" x14ac:dyDescent="0.4">
      <c r="A84" s="175"/>
      <c r="B84" s="176" t="s">
        <v>718</v>
      </c>
      <c r="C84" s="176">
        <v>102.18</v>
      </c>
      <c r="D84" s="176">
        <f>G81</f>
        <v>0</v>
      </c>
      <c r="E84" s="176"/>
      <c r="F84" s="176"/>
      <c r="G84" s="176"/>
      <c r="H84" s="176"/>
      <c r="I84" s="176"/>
      <c r="J84" s="176"/>
      <c r="K84" s="176"/>
      <c r="L84" s="176"/>
      <c r="M84" s="176"/>
      <c r="N84" s="176"/>
      <c r="O84" s="176"/>
      <c r="P84" s="176"/>
      <c r="Q84" s="177"/>
    </row>
    <row r="87" spans="1:17" x14ac:dyDescent="0.4">
      <c r="J87" s="3" t="s">
        <v>722</v>
      </c>
    </row>
    <row r="88" spans="1:17" x14ac:dyDescent="0.4">
      <c r="A88" s="155" t="s">
        <v>589</v>
      </c>
      <c r="B88" s="156" t="s">
        <v>622</v>
      </c>
      <c r="C88" s="156" t="s">
        <v>581</v>
      </c>
      <c r="D88" s="156" t="s">
        <v>723</v>
      </c>
      <c r="E88" s="156" t="s">
        <v>591</v>
      </c>
      <c r="F88" s="156" t="s">
        <v>623</v>
      </c>
      <c r="G88" s="156" t="s">
        <v>581</v>
      </c>
      <c r="H88" s="156" t="s">
        <v>723</v>
      </c>
      <c r="I88" s="156" t="s">
        <v>591</v>
      </c>
      <c r="J88" s="156" t="s">
        <v>624</v>
      </c>
      <c r="K88" s="156" t="s">
        <v>386</v>
      </c>
      <c r="L88" s="156" t="s">
        <v>591</v>
      </c>
      <c r="M88" s="156" t="s">
        <v>392</v>
      </c>
      <c r="N88" s="156" t="s">
        <v>591</v>
      </c>
      <c r="O88" s="156" t="s">
        <v>625</v>
      </c>
      <c r="P88" s="156"/>
      <c r="Q88" s="178" t="s">
        <v>395</v>
      </c>
    </row>
    <row r="89" spans="1:17" x14ac:dyDescent="0.4">
      <c r="A89" s="18" t="s">
        <v>628</v>
      </c>
      <c r="B89" s="108" t="s">
        <v>713</v>
      </c>
      <c r="C89" s="108">
        <v>81.540000000000006</v>
      </c>
      <c r="D89" s="108">
        <v>1</v>
      </c>
      <c r="E89" s="108">
        <f>'A. Databases'!H108</f>
        <v>0</v>
      </c>
      <c r="F89" s="108" t="s">
        <v>714</v>
      </c>
      <c r="G89" s="108">
        <v>71.08</v>
      </c>
      <c r="H89" s="108">
        <v>1</v>
      </c>
      <c r="I89" s="108">
        <f>(E89*(C89/1000)+E90*(C90*D90/1000)+E91*(C91/1000))/(G89/1000)</f>
        <v>0</v>
      </c>
      <c r="J89" s="108"/>
      <c r="K89" s="108"/>
      <c r="L89" s="108"/>
      <c r="M89" s="108" t="s">
        <v>715</v>
      </c>
      <c r="N89" s="108"/>
      <c r="O89" s="108"/>
      <c r="P89" s="108"/>
      <c r="Q89" s="6"/>
    </row>
    <row r="90" spans="1:17" x14ac:dyDescent="0.4">
      <c r="A90" s="9"/>
      <c r="B90" s="35" t="s">
        <v>716</v>
      </c>
      <c r="C90" s="35">
        <v>70.906000000000006</v>
      </c>
      <c r="D90" s="35">
        <v>3</v>
      </c>
      <c r="E90" s="35">
        <f>'A. Databases'!H111</f>
        <v>0</v>
      </c>
      <c r="F90" s="35"/>
      <c r="G90" s="35"/>
      <c r="H90" s="35"/>
      <c r="I90" s="35"/>
      <c r="J90" s="35"/>
      <c r="K90" s="35"/>
      <c r="L90" s="35"/>
      <c r="M90" s="35"/>
      <c r="N90" s="35"/>
      <c r="O90" s="35"/>
      <c r="P90" s="35"/>
      <c r="Q90" s="41"/>
    </row>
    <row r="91" spans="1:17" x14ac:dyDescent="0.4">
      <c r="A91" s="192"/>
      <c r="B91" s="55" t="s">
        <v>324</v>
      </c>
      <c r="C91" s="55">
        <v>296.73</v>
      </c>
      <c r="D91" s="55">
        <v>1</v>
      </c>
      <c r="E91" s="55">
        <f>'A. Databases'!H110</f>
        <v>0</v>
      </c>
      <c r="F91" s="55"/>
      <c r="G91" s="55"/>
      <c r="H91" s="55"/>
      <c r="I91" s="55"/>
      <c r="J91" s="55"/>
      <c r="K91" s="55"/>
      <c r="L91" s="55"/>
      <c r="M91" s="55"/>
      <c r="N91" s="55"/>
      <c r="O91" s="55"/>
      <c r="P91" s="55"/>
      <c r="Q91" s="57"/>
    </row>
    <row r="92" spans="1:17" x14ac:dyDescent="0.4">
      <c r="A92" s="193" t="s">
        <v>633</v>
      </c>
      <c r="B92" s="194" t="s">
        <v>717</v>
      </c>
      <c r="C92" s="194">
        <v>45.09</v>
      </c>
      <c r="D92" s="194">
        <v>0.57999999999999996</v>
      </c>
      <c r="E92" s="194">
        <f>'A. Databases'!H109</f>
        <v>0</v>
      </c>
      <c r="F92" s="194" t="s">
        <v>724</v>
      </c>
      <c r="G92" s="194">
        <v>98.15</v>
      </c>
      <c r="H92" s="194">
        <v>0.4</v>
      </c>
      <c r="I92" s="194">
        <f>(E92*(C92/1000)+E93*(C93/1000))/(G92/1000)</f>
        <v>0</v>
      </c>
      <c r="J92" s="194"/>
      <c r="K92" s="194"/>
      <c r="L92" s="194"/>
      <c r="M92" s="194"/>
      <c r="N92" s="194"/>
      <c r="O92" s="194"/>
      <c r="P92" s="194"/>
      <c r="Q92" s="195"/>
    </row>
    <row r="93" spans="1:17" x14ac:dyDescent="0.4">
      <c r="A93" s="192"/>
      <c r="B93" s="55" t="s">
        <v>725</v>
      </c>
      <c r="C93" s="55">
        <v>53.06</v>
      </c>
      <c r="D93" s="55">
        <v>0.5</v>
      </c>
      <c r="E93" s="55">
        <f>'A. Databases'!H113</f>
        <v>0</v>
      </c>
      <c r="F93" s="55"/>
      <c r="G93" s="55"/>
      <c r="H93" s="55"/>
      <c r="I93" s="55"/>
      <c r="J93" s="55"/>
      <c r="K93" s="55"/>
      <c r="L93" s="55"/>
      <c r="M93" s="55"/>
      <c r="N93" s="55"/>
      <c r="O93" s="55"/>
      <c r="P93" s="55"/>
      <c r="Q93" s="57"/>
    </row>
    <row r="94" spans="1:17" x14ac:dyDescent="0.4">
      <c r="A94" s="196" t="s">
        <v>638</v>
      </c>
      <c r="B94" s="194" t="s">
        <v>724</v>
      </c>
      <c r="C94" s="194">
        <v>98.15</v>
      </c>
      <c r="D94" s="197">
        <v>0.4</v>
      </c>
      <c r="E94" s="194">
        <f>I92</f>
        <v>0</v>
      </c>
      <c r="F94" s="194" t="s">
        <v>718</v>
      </c>
      <c r="G94" s="194">
        <v>102.18</v>
      </c>
      <c r="H94" s="194">
        <v>0.4</v>
      </c>
      <c r="I94" s="194">
        <f>(C94*D94*E94+C95*D95*E95+C96*D96*E96+C97*D97*E97)/(G94*H94)</f>
        <v>0</v>
      </c>
      <c r="J94" s="194"/>
      <c r="K94" s="194"/>
      <c r="L94" s="194"/>
      <c r="M94" s="194"/>
      <c r="N94" s="194"/>
      <c r="O94" s="194"/>
      <c r="P94" s="194"/>
      <c r="Q94" s="195"/>
    </row>
    <row r="95" spans="1:17" x14ac:dyDescent="0.4">
      <c r="A95" s="9"/>
      <c r="B95" s="63" t="s">
        <v>726</v>
      </c>
      <c r="C95" s="64">
        <v>22.989768999999999</v>
      </c>
      <c r="D95" s="63">
        <v>2.4</v>
      </c>
      <c r="E95" s="35">
        <f>'A. Databases'!H115</f>
        <v>0</v>
      </c>
      <c r="F95" s="35"/>
      <c r="G95" s="35"/>
      <c r="H95" s="35"/>
      <c r="I95" s="35"/>
      <c r="J95" s="35"/>
      <c r="K95" s="35"/>
      <c r="L95" s="35"/>
      <c r="M95" s="35"/>
      <c r="N95" s="35"/>
      <c r="O95" s="35"/>
      <c r="P95" s="35"/>
      <c r="Q95" s="41"/>
    </row>
    <row r="96" spans="1:17" x14ac:dyDescent="0.4">
      <c r="A96" s="9"/>
      <c r="B96" s="63" t="s">
        <v>727</v>
      </c>
      <c r="C96" s="63">
        <v>46.067999999999998</v>
      </c>
      <c r="D96" s="59">
        <f>60/C96</f>
        <v>1.3024225058609014</v>
      </c>
      <c r="E96" s="35">
        <f>'A. Databases'!H32</f>
        <v>0</v>
      </c>
      <c r="F96" s="35"/>
      <c r="G96" s="35"/>
      <c r="H96" s="35"/>
      <c r="I96" s="35"/>
      <c r="J96" s="35"/>
      <c r="K96" s="35"/>
      <c r="L96" s="35"/>
      <c r="M96" s="35"/>
      <c r="N96" s="35"/>
      <c r="O96" s="35"/>
      <c r="P96" s="35"/>
      <c r="Q96" s="41"/>
    </row>
    <row r="97" spans="1:17" x14ac:dyDescent="0.4">
      <c r="A97" s="192"/>
      <c r="B97" s="56" t="s">
        <v>728</v>
      </c>
      <c r="C97" s="55">
        <v>92.14</v>
      </c>
      <c r="D97" s="198">
        <f>(200*0.87)/C97</f>
        <v>1.8884306490123726</v>
      </c>
      <c r="E97" s="55">
        <f>'A. Databases'!H22</f>
        <v>0</v>
      </c>
      <c r="F97" s="55"/>
      <c r="G97" s="55"/>
      <c r="H97" s="55"/>
      <c r="I97" s="55"/>
      <c r="J97" s="55"/>
      <c r="K97" s="55"/>
      <c r="L97" s="55"/>
      <c r="M97" s="55"/>
      <c r="N97" s="55"/>
      <c r="O97" s="55"/>
      <c r="P97" s="55"/>
      <c r="Q97" s="57"/>
    </row>
    <row r="98" spans="1:17" x14ac:dyDescent="0.4">
      <c r="A98" s="9" t="s">
        <v>652</v>
      </c>
      <c r="B98" s="194" t="s">
        <v>718</v>
      </c>
      <c r="C98" s="194">
        <v>102.18</v>
      </c>
      <c r="D98" s="63">
        <v>1</v>
      </c>
      <c r="E98" s="35">
        <f>I94</f>
        <v>0</v>
      </c>
      <c r="F98" s="35" t="s">
        <v>721</v>
      </c>
      <c r="G98" s="35">
        <v>155.25</v>
      </c>
      <c r="H98" s="35">
        <v>1</v>
      </c>
      <c r="I98" s="35">
        <f>(C98*D98*E98+C99*D99*E99)/G98*H98</f>
        <v>0</v>
      </c>
      <c r="J98" s="35"/>
      <c r="K98" s="35"/>
      <c r="L98" s="35"/>
      <c r="M98" s="35"/>
      <c r="N98" s="35"/>
      <c r="O98" s="35"/>
      <c r="P98" s="35"/>
      <c r="Q98" s="41"/>
    </row>
    <row r="99" spans="1:17" x14ac:dyDescent="0.4">
      <c r="A99" s="24"/>
      <c r="B99" s="42" t="s">
        <v>714</v>
      </c>
      <c r="C99" s="42">
        <v>71.08</v>
      </c>
      <c r="D99" s="74">
        <v>1</v>
      </c>
      <c r="E99" s="42">
        <f>I89</f>
        <v>0</v>
      </c>
      <c r="F99" s="42"/>
      <c r="G99" s="42"/>
      <c r="H99" s="42"/>
      <c r="I99" s="42"/>
      <c r="J99" s="42"/>
      <c r="K99" s="42"/>
      <c r="L99" s="42"/>
      <c r="M99" s="42"/>
      <c r="N99" s="42"/>
      <c r="O99" s="42"/>
      <c r="P99" s="42"/>
      <c r="Q99" s="45"/>
    </row>
    <row r="101" spans="1:17" x14ac:dyDescent="0.4">
      <c r="B101" s="7"/>
      <c r="E101" s="35"/>
    </row>
    <row r="104" spans="1:17" x14ac:dyDescent="0.4">
      <c r="J104" s="3" t="s">
        <v>729</v>
      </c>
    </row>
    <row r="105" spans="1:17" x14ac:dyDescent="0.4">
      <c r="A105" s="155" t="s">
        <v>589</v>
      </c>
      <c r="B105" s="156" t="s">
        <v>622</v>
      </c>
      <c r="C105" s="156" t="s">
        <v>581</v>
      </c>
      <c r="D105" s="156" t="s">
        <v>723</v>
      </c>
      <c r="E105" s="156" t="s">
        <v>591</v>
      </c>
      <c r="F105" s="156" t="s">
        <v>623</v>
      </c>
      <c r="G105" s="156" t="s">
        <v>386</v>
      </c>
      <c r="H105" s="156" t="s">
        <v>723</v>
      </c>
      <c r="I105" s="156" t="s">
        <v>591</v>
      </c>
      <c r="J105" s="156" t="s">
        <v>624</v>
      </c>
      <c r="K105" s="156" t="s">
        <v>386</v>
      </c>
      <c r="L105" s="156" t="s">
        <v>591</v>
      </c>
      <c r="M105" s="156" t="s">
        <v>392</v>
      </c>
      <c r="N105" s="156" t="s">
        <v>591</v>
      </c>
      <c r="O105" s="156" t="s">
        <v>625</v>
      </c>
      <c r="P105" s="156"/>
      <c r="Q105" s="178" t="s">
        <v>395</v>
      </c>
    </row>
    <row r="106" spans="1:17" x14ac:dyDescent="0.4">
      <c r="A106" s="9" t="s">
        <v>628</v>
      </c>
      <c r="B106" s="35" t="s">
        <v>730</v>
      </c>
      <c r="C106" s="35">
        <v>58.12</v>
      </c>
      <c r="D106" s="35">
        <v>2</v>
      </c>
      <c r="E106" s="35">
        <f>'A. Databases'!H116</f>
        <v>0</v>
      </c>
      <c r="F106" s="35" t="s">
        <v>731</v>
      </c>
      <c r="G106" s="35">
        <v>92.57</v>
      </c>
      <c r="H106" s="35">
        <v>1</v>
      </c>
      <c r="I106" s="35">
        <f>(C106*D106*E106+C107*D107*E107)/G106</f>
        <v>0</v>
      </c>
      <c r="J106" s="35"/>
      <c r="K106" s="35"/>
      <c r="L106" s="35"/>
      <c r="M106" s="35"/>
      <c r="N106" s="35"/>
      <c r="O106" s="35"/>
      <c r="P106" s="35"/>
      <c r="Q106" s="41"/>
    </row>
    <row r="107" spans="1:17" x14ac:dyDescent="0.4">
      <c r="A107" s="9"/>
      <c r="B107" s="35" t="s">
        <v>732</v>
      </c>
      <c r="C107" s="35">
        <v>70.900000000000006</v>
      </c>
      <c r="D107" s="35">
        <v>1</v>
      </c>
      <c r="E107" s="35">
        <f>'A. Databases'!H111</f>
        <v>0</v>
      </c>
      <c r="F107" s="35"/>
      <c r="G107" s="35"/>
      <c r="H107" s="35"/>
      <c r="I107" s="35"/>
      <c r="J107" s="35"/>
      <c r="K107" s="35"/>
      <c r="L107" s="35"/>
      <c r="M107" s="35"/>
      <c r="N107" s="35"/>
      <c r="O107" s="35"/>
      <c r="P107" s="35"/>
      <c r="Q107" s="41"/>
    </row>
    <row r="108" spans="1:17" x14ac:dyDescent="0.4">
      <c r="A108" s="9" t="s">
        <v>633</v>
      </c>
      <c r="B108" s="35" t="s">
        <v>731</v>
      </c>
      <c r="C108" s="35">
        <v>92.57</v>
      </c>
      <c r="D108" s="35">
        <v>1</v>
      </c>
      <c r="E108" s="35">
        <f>I106</f>
        <v>0</v>
      </c>
      <c r="F108" s="35" t="s">
        <v>733</v>
      </c>
      <c r="G108" s="35">
        <v>64.06</v>
      </c>
      <c r="H108" s="35">
        <v>1</v>
      </c>
      <c r="I108" s="35">
        <f>(C108*E108+C109*E109)/G108</f>
        <v>0</v>
      </c>
      <c r="J108" s="35"/>
      <c r="K108" s="35"/>
      <c r="L108" s="35"/>
      <c r="M108" s="35"/>
      <c r="N108" s="35"/>
      <c r="O108" s="35"/>
      <c r="P108" s="35"/>
      <c r="Q108" s="41"/>
    </row>
    <row r="109" spans="1:17" x14ac:dyDescent="0.4">
      <c r="A109" s="24"/>
      <c r="B109" s="42" t="s">
        <v>734</v>
      </c>
      <c r="C109" s="42">
        <v>6.94</v>
      </c>
      <c r="D109" s="42">
        <v>1</v>
      </c>
      <c r="E109" s="42">
        <f>'A. Databases'!H68</f>
        <v>0</v>
      </c>
      <c r="F109" s="42"/>
      <c r="G109" s="42"/>
      <c r="H109" s="42"/>
      <c r="I109" s="42"/>
      <c r="J109" s="42"/>
      <c r="K109" s="42"/>
      <c r="L109" s="42"/>
      <c r="M109" s="42"/>
      <c r="N109" s="42"/>
      <c r="O109" s="42"/>
      <c r="P109" s="42"/>
      <c r="Q109" s="45"/>
    </row>
    <row r="111" spans="1:17" x14ac:dyDescent="0.4">
      <c r="J111" s="3" t="s">
        <v>735</v>
      </c>
    </row>
    <row r="112" spans="1:17" x14ac:dyDescent="0.4">
      <c r="A112" s="155" t="s">
        <v>589</v>
      </c>
      <c r="B112" s="156" t="s">
        <v>622</v>
      </c>
      <c r="C112" s="156" t="s">
        <v>581</v>
      </c>
      <c r="D112" s="156" t="s">
        <v>723</v>
      </c>
      <c r="E112" s="156" t="s">
        <v>591</v>
      </c>
      <c r="F112" s="156" t="s">
        <v>623</v>
      </c>
      <c r="G112" s="156" t="s">
        <v>386</v>
      </c>
      <c r="H112" s="156" t="s">
        <v>723</v>
      </c>
      <c r="I112" s="156" t="s">
        <v>591</v>
      </c>
      <c r="J112" s="156" t="s">
        <v>736</v>
      </c>
      <c r="K112" s="156" t="s">
        <v>386</v>
      </c>
      <c r="L112" s="156" t="s">
        <v>591</v>
      </c>
      <c r="M112" s="156" t="s">
        <v>392</v>
      </c>
      <c r="N112" s="156" t="s">
        <v>591</v>
      </c>
      <c r="O112" s="156" t="s">
        <v>625</v>
      </c>
      <c r="P112" s="156"/>
      <c r="Q112" s="178" t="s">
        <v>395</v>
      </c>
    </row>
    <row r="113" spans="1:64" x14ac:dyDescent="0.4">
      <c r="A113" s="9" t="s">
        <v>628</v>
      </c>
      <c r="B113" s="35" t="s">
        <v>726</v>
      </c>
      <c r="C113" s="35">
        <v>22.989795999999998</v>
      </c>
      <c r="D113" s="35">
        <v>2</v>
      </c>
      <c r="E113" s="35">
        <f>'A. Databases'!H115</f>
        <v>0</v>
      </c>
      <c r="F113" s="35" t="s">
        <v>735</v>
      </c>
      <c r="G113" s="35">
        <v>23.99</v>
      </c>
      <c r="H113" s="35">
        <v>2</v>
      </c>
      <c r="I113" s="35">
        <f>(C113*D113*E113+C114*D114*E114)/(G113*H113)</f>
        <v>0</v>
      </c>
      <c r="J113" s="35"/>
      <c r="K113" s="35"/>
      <c r="L113" s="35"/>
      <c r="M113" s="35"/>
      <c r="N113" s="35"/>
      <c r="O113" s="35"/>
      <c r="P113" s="35"/>
      <c r="Q113" s="41"/>
    </row>
    <row r="114" spans="1:64" x14ac:dyDescent="0.4">
      <c r="A114" s="24"/>
      <c r="B114" s="42" t="s">
        <v>607</v>
      </c>
      <c r="C114" s="42">
        <v>2</v>
      </c>
      <c r="D114" s="42">
        <v>1</v>
      </c>
      <c r="E114" s="42">
        <f>'A. Databases'!H102</f>
        <v>0</v>
      </c>
      <c r="F114" s="42"/>
      <c r="G114" s="42"/>
      <c r="H114" s="42"/>
      <c r="I114" s="42"/>
      <c r="J114" s="42"/>
      <c r="K114" s="42"/>
      <c r="L114" s="42"/>
      <c r="M114" s="42"/>
      <c r="N114" s="42"/>
      <c r="O114" s="42"/>
      <c r="P114" s="42"/>
      <c r="Q114" s="45"/>
    </row>
    <row r="117" spans="1:64" x14ac:dyDescent="0.4">
      <c r="J117" s="199" t="s">
        <v>737</v>
      </c>
    </row>
    <row r="118" spans="1:64" x14ac:dyDescent="0.4">
      <c r="A118" s="155" t="s">
        <v>589</v>
      </c>
      <c r="B118" s="156" t="s">
        <v>622</v>
      </c>
      <c r="C118" s="156" t="s">
        <v>581</v>
      </c>
      <c r="D118" s="156" t="s">
        <v>723</v>
      </c>
      <c r="E118" s="156" t="s">
        <v>591</v>
      </c>
      <c r="F118" s="156" t="s">
        <v>623</v>
      </c>
      <c r="G118" s="156" t="s">
        <v>386</v>
      </c>
      <c r="H118" s="156" t="s">
        <v>723</v>
      </c>
      <c r="I118" s="156" t="s">
        <v>591</v>
      </c>
      <c r="J118" s="156" t="s">
        <v>736</v>
      </c>
      <c r="K118" s="156" t="s">
        <v>386</v>
      </c>
      <c r="L118" s="156" t="s">
        <v>591</v>
      </c>
      <c r="M118" s="156" t="s">
        <v>392</v>
      </c>
      <c r="N118" s="156" t="s">
        <v>591</v>
      </c>
      <c r="O118" s="156" t="s">
        <v>625</v>
      </c>
      <c r="P118" s="156"/>
      <c r="Q118" s="178" t="s">
        <v>395</v>
      </c>
    </row>
    <row r="119" spans="1:64" x14ac:dyDescent="0.4">
      <c r="A119" s="18" t="s">
        <v>628</v>
      </c>
      <c r="B119" s="108" t="s">
        <v>738</v>
      </c>
      <c r="C119" s="108">
        <v>98.91</v>
      </c>
      <c r="D119" s="108">
        <f>50/C119</f>
        <v>0.50551005965018703</v>
      </c>
      <c r="E119" s="108">
        <f>'A. Databases'!H118</f>
        <v>0</v>
      </c>
      <c r="F119" s="108" t="s">
        <v>739</v>
      </c>
      <c r="G119" s="108">
        <v>156.57</v>
      </c>
      <c r="H119" s="94">
        <v>1</v>
      </c>
      <c r="I119" s="108">
        <f>((C119*D119*E119+C120*D120*E120+C121*D121*E121)/(H119*G119))/Q119</f>
        <v>0</v>
      </c>
      <c r="J119" s="108"/>
      <c r="K119" s="108"/>
      <c r="L119" s="108"/>
      <c r="M119" s="108"/>
      <c r="N119" s="108"/>
      <c r="O119" s="108"/>
      <c r="P119" s="108"/>
      <c r="Q119" s="6">
        <v>0.89400000000000002</v>
      </c>
    </row>
    <row r="120" spans="1:64" x14ac:dyDescent="0.4">
      <c r="A120" s="9" t="s">
        <v>628</v>
      </c>
      <c r="B120" s="35" t="s">
        <v>740</v>
      </c>
      <c r="C120" s="35">
        <v>94.11</v>
      </c>
      <c r="D120" s="35">
        <v>1.06</v>
      </c>
      <c r="E120" s="35">
        <f>'A. Databases'!H117</f>
        <v>0</v>
      </c>
      <c r="F120" s="35"/>
      <c r="G120" s="35"/>
      <c r="H120" s="35"/>
      <c r="I120" s="35"/>
      <c r="J120" s="35"/>
      <c r="K120" s="35"/>
      <c r="L120" s="35"/>
      <c r="M120" s="35"/>
      <c r="N120" s="35"/>
      <c r="O120" s="35"/>
      <c r="P120" s="35"/>
      <c r="Q120" s="41"/>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row>
    <row r="121" spans="1:64" x14ac:dyDescent="0.4">
      <c r="A121" s="119" t="s">
        <v>628</v>
      </c>
      <c r="B121" s="74" t="s">
        <v>574</v>
      </c>
      <c r="C121" s="42">
        <v>73.09</v>
      </c>
      <c r="D121" s="42">
        <f>2.5/C121</f>
        <v>3.4204405527431932E-2</v>
      </c>
      <c r="E121" s="42">
        <f>'A. Databases'!H97</f>
        <v>0</v>
      </c>
      <c r="F121" s="42"/>
      <c r="G121" s="42"/>
      <c r="H121" s="42"/>
      <c r="I121" s="42"/>
      <c r="J121" s="42"/>
      <c r="K121" s="42"/>
      <c r="L121" s="42"/>
      <c r="M121" s="42"/>
      <c r="N121" s="42"/>
      <c r="O121" s="42"/>
      <c r="P121" s="42"/>
      <c r="Q121" s="4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row>
    <row r="123" spans="1:64" x14ac:dyDescent="0.4">
      <c r="I123" s="35"/>
    </row>
    <row r="124" spans="1:64" x14ac:dyDescent="0.4">
      <c r="A124" s="15"/>
      <c r="B124" s="15"/>
      <c r="C124" s="15"/>
      <c r="D124" s="15"/>
      <c r="E124" s="15"/>
      <c r="F124" s="15"/>
      <c r="G124" s="15"/>
      <c r="H124" s="15"/>
      <c r="I124" s="74"/>
      <c r="J124" s="200" t="s">
        <v>413</v>
      </c>
      <c r="K124" s="15"/>
      <c r="L124" s="15"/>
    </row>
    <row r="125" spans="1:64" x14ac:dyDescent="0.4">
      <c r="A125" s="201" t="s">
        <v>589</v>
      </c>
      <c r="B125" s="202" t="s">
        <v>622</v>
      </c>
      <c r="C125" s="156" t="s">
        <v>581</v>
      </c>
      <c r="D125" s="202" t="s">
        <v>723</v>
      </c>
      <c r="E125" s="202" t="s">
        <v>591</v>
      </c>
      <c r="F125" s="202" t="s">
        <v>623</v>
      </c>
      <c r="G125" s="202" t="s">
        <v>386</v>
      </c>
      <c r="H125" s="202" t="s">
        <v>723</v>
      </c>
      <c r="I125" s="202" t="s">
        <v>591</v>
      </c>
      <c r="J125" s="202" t="s">
        <v>736</v>
      </c>
      <c r="K125" s="202" t="s">
        <v>386</v>
      </c>
      <c r="L125" s="202" t="s">
        <v>591</v>
      </c>
      <c r="M125" s="156" t="s">
        <v>392</v>
      </c>
      <c r="N125" s="156" t="s">
        <v>591</v>
      </c>
      <c r="O125" s="156" t="s">
        <v>386</v>
      </c>
      <c r="P125" s="156" t="s">
        <v>741</v>
      </c>
      <c r="Q125" s="178" t="s">
        <v>742</v>
      </c>
    </row>
    <row r="126" spans="1:64" x14ac:dyDescent="0.4">
      <c r="A126" s="117" t="s">
        <v>628</v>
      </c>
      <c r="B126" s="94" t="s">
        <v>743</v>
      </c>
      <c r="C126" s="94">
        <v>156.99</v>
      </c>
      <c r="D126" s="94">
        <v>1</v>
      </c>
      <c r="E126" s="94">
        <f>'A. Databases'!H11</f>
        <v>0</v>
      </c>
      <c r="F126" s="94" t="s">
        <v>744</v>
      </c>
      <c r="G126" s="94">
        <v>192.13</v>
      </c>
      <c r="H126" s="94">
        <v>1</v>
      </c>
      <c r="I126" s="94">
        <f>(((C126*E126/1000)+(C127*D127*E127/1000)+(C128*E128/1000)+(C129*E129/1000)+(N126*P126*O126/1000)+(N127*O127*P127/1000)+(C130*D130*E130/1000)+(C131*D131*E131/1000)+(C132*D132*E132/1000))/(G126/1000)/Q126)</f>
        <v>0</v>
      </c>
      <c r="J126" s="94"/>
      <c r="K126" s="94"/>
      <c r="L126" s="94"/>
      <c r="M126" s="108" t="s">
        <v>394</v>
      </c>
      <c r="N126" s="108">
        <f>'A. Databases'!H8</f>
        <v>0</v>
      </c>
      <c r="O126" s="108">
        <v>32.04</v>
      </c>
      <c r="P126" s="108">
        <v>1</v>
      </c>
      <c r="Q126" s="203">
        <f>0.91*0.95*0.8*0.7</f>
        <v>0.48411999999999994</v>
      </c>
    </row>
    <row r="127" spans="1:64" x14ac:dyDescent="0.4">
      <c r="A127" s="86" t="s">
        <v>628</v>
      </c>
      <c r="B127" s="63" t="s">
        <v>745</v>
      </c>
      <c r="C127" s="63">
        <v>60.07</v>
      </c>
      <c r="D127" s="63">
        <v>2</v>
      </c>
      <c r="E127" s="63">
        <f>'A. Databases'!H63</f>
        <v>0</v>
      </c>
      <c r="F127" s="63"/>
      <c r="G127" s="63"/>
      <c r="H127" s="63"/>
      <c r="I127" s="63"/>
      <c r="J127" s="63"/>
      <c r="K127" s="63"/>
      <c r="L127" s="63"/>
      <c r="M127" s="35" t="s">
        <v>746</v>
      </c>
      <c r="N127" s="35">
        <v>2.4</v>
      </c>
      <c r="O127" s="35">
        <v>106.12</v>
      </c>
      <c r="P127" s="35">
        <v>0</v>
      </c>
      <c r="Q127" s="41"/>
    </row>
    <row r="128" spans="1:64" x14ac:dyDescent="0.4">
      <c r="A128" s="86" t="s">
        <v>628</v>
      </c>
      <c r="B128" s="63" t="s">
        <v>431</v>
      </c>
      <c r="C128" s="63">
        <v>39.997</v>
      </c>
      <c r="D128" s="63">
        <v>1</v>
      </c>
      <c r="E128" s="63">
        <f>'A. Databases'!H20</f>
        <v>0</v>
      </c>
      <c r="F128" s="63"/>
      <c r="G128" s="63"/>
      <c r="H128" s="63"/>
      <c r="I128" s="63"/>
      <c r="J128" s="63"/>
      <c r="K128" s="63"/>
      <c r="L128" s="63"/>
      <c r="M128" s="35"/>
      <c r="N128" s="35"/>
      <c r="O128" s="35"/>
      <c r="P128" s="35"/>
      <c r="Q128" s="41"/>
    </row>
    <row r="129" spans="1:17" x14ac:dyDescent="0.4">
      <c r="A129" s="86" t="s">
        <v>628</v>
      </c>
      <c r="B129" s="63" t="s">
        <v>596</v>
      </c>
      <c r="C129" s="63">
        <v>36.46</v>
      </c>
      <c r="D129" s="63">
        <v>1</v>
      </c>
      <c r="E129" s="63">
        <f>'A. Databases'!H79</f>
        <v>0</v>
      </c>
      <c r="F129" s="63"/>
      <c r="G129" s="63"/>
      <c r="H129" s="63"/>
      <c r="I129" s="63"/>
      <c r="J129" s="63"/>
      <c r="K129" s="63"/>
      <c r="L129" s="63"/>
      <c r="M129" s="35"/>
      <c r="N129" s="35"/>
      <c r="O129" s="35"/>
      <c r="P129" s="35"/>
      <c r="Q129" s="41"/>
    </row>
    <row r="130" spans="1:17" x14ac:dyDescent="0.4">
      <c r="A130" s="86" t="s">
        <v>628</v>
      </c>
      <c r="B130" s="63" t="s">
        <v>747</v>
      </c>
      <c r="C130" s="63">
        <v>133.34</v>
      </c>
      <c r="D130" s="63">
        <v>1</v>
      </c>
      <c r="E130" s="63">
        <f>'A. Databases'!H127</f>
        <v>0</v>
      </c>
      <c r="F130" s="63"/>
      <c r="G130" s="63"/>
      <c r="H130" s="63"/>
      <c r="I130" s="63"/>
      <c r="J130" s="63"/>
      <c r="K130" s="63"/>
      <c r="L130" s="63"/>
      <c r="M130" s="35"/>
      <c r="N130" s="35"/>
      <c r="O130" s="35"/>
      <c r="P130" s="35"/>
      <c r="Q130" s="41"/>
    </row>
    <row r="131" spans="1:17" x14ac:dyDescent="0.4">
      <c r="A131" s="86" t="s">
        <v>628</v>
      </c>
      <c r="B131" s="63" t="s">
        <v>565</v>
      </c>
      <c r="C131" s="63">
        <v>70.09</v>
      </c>
      <c r="D131" s="63">
        <v>1</v>
      </c>
      <c r="E131" s="63">
        <f>'A. Databases'!H12</f>
        <v>0</v>
      </c>
      <c r="F131" s="63"/>
      <c r="G131" s="63"/>
      <c r="H131" s="63"/>
      <c r="I131" s="63"/>
      <c r="J131" s="63"/>
      <c r="K131" s="63"/>
      <c r="L131" s="63"/>
      <c r="M131" s="35"/>
      <c r="N131" s="35"/>
      <c r="O131" s="35"/>
      <c r="P131" s="35"/>
      <c r="Q131" s="41"/>
    </row>
    <row r="132" spans="1:17" x14ac:dyDescent="0.4">
      <c r="A132" s="119" t="s">
        <v>628</v>
      </c>
      <c r="B132" s="74" t="s">
        <v>748</v>
      </c>
      <c r="C132" s="74">
        <v>126</v>
      </c>
      <c r="D132" s="74">
        <v>1</v>
      </c>
      <c r="E132" s="74">
        <f>'A. Databases'!H128</f>
        <v>0</v>
      </c>
      <c r="F132" s="74"/>
      <c r="G132" s="74"/>
      <c r="H132" s="74"/>
      <c r="I132" s="74"/>
      <c r="J132" s="74"/>
      <c r="K132" s="74"/>
      <c r="L132" s="74"/>
      <c r="M132" s="42"/>
      <c r="N132" s="42"/>
      <c r="O132" s="42"/>
      <c r="P132" s="42"/>
      <c r="Q132" s="45"/>
    </row>
    <row r="135" spans="1:17" x14ac:dyDescent="0.4">
      <c r="F135" s="35"/>
    </row>
  </sheetData>
  <mergeCells count="6">
    <mergeCell ref="A48:A49"/>
    <mergeCell ref="A1:P1"/>
    <mergeCell ref="A13:P13"/>
    <mergeCell ref="A33:A34"/>
    <mergeCell ref="A35:A36"/>
    <mergeCell ref="A42:A43"/>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Macro</vt:lpstr>
      <vt:lpstr>A. Databases</vt:lpstr>
      <vt:lpstr>1.1 LCA This Work FU</vt:lpstr>
      <vt:lpstr>2.1. Merck LCA FU</vt:lpstr>
      <vt:lpstr>B.1. Chiral Cat This Work</vt:lpstr>
      <vt:lpstr>B.2. Chiral Cat Merck</vt:lpstr>
      <vt:lpstr>B.3. Pd Catalyst</vt:lpstr>
      <vt:lpstr>B.4. Precursors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Hoepfner  Maximilian</dc:creator>
  <dc:description/>
  <cp:lastModifiedBy>Hoepfner  Maximilian</cp:lastModifiedBy>
  <cp:revision>1</cp:revision>
  <dcterms:created xsi:type="dcterms:W3CDTF">2025-08-15T09:15:35Z</dcterms:created>
  <dcterms:modified xsi:type="dcterms:W3CDTF">2025-08-20T09:33:06Z</dcterms:modified>
  <dc:language>de-DE</dc:language>
</cp:coreProperties>
</file>